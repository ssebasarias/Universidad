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rr\Desktop\"/>
    </mc:Choice>
  </mc:AlternateContent>
  <xr:revisionPtr revIDLastSave="0" documentId="13_ncr:1_{433F2FCF-C1EB-44BC-BB07-5F6189BFEA55}" xr6:coauthVersionLast="47" xr6:coauthVersionMax="47" xr10:uidLastSave="{00000000-0000-0000-0000-000000000000}"/>
  <bookViews>
    <workbookView xWindow="-110" yWindow="-110" windowWidth="25820" windowHeight="15500" activeTab="2" xr2:uid="{2D84A784-05A6-4E91-A027-1BDD0BF4BBA6}"/>
  </bookViews>
  <sheets>
    <sheet name="Matriz de vester" sheetId="1" r:id="rId1"/>
    <sheet name="Marco Logico" sheetId="3" r:id="rId2"/>
    <sheet name="EDT" sheetId="5" r:id="rId3"/>
    <sheet name="MML" sheetId="6" r:id="rId4"/>
    <sheet name="Recursos" sheetId="7" r:id="rId5"/>
    <sheet name="Arbol de problema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C14" i="1"/>
  <c r="D14" i="1"/>
  <c r="E14" i="1"/>
  <c r="F14" i="1"/>
  <c r="G14" i="1"/>
  <c r="H14" i="1"/>
  <c r="I14" i="1"/>
  <c r="J14" i="1"/>
  <c r="K14" i="1"/>
  <c r="L14" i="1"/>
  <c r="M14" i="1"/>
  <c r="B14" i="1"/>
  <c r="N3" i="1"/>
  <c r="N4" i="1"/>
  <c r="N5" i="1"/>
  <c r="N6" i="1"/>
  <c r="N7" i="1"/>
  <c r="N8" i="1"/>
  <c r="N9" i="1"/>
  <c r="N10" i="1"/>
  <c r="N11" i="1"/>
  <c r="N12" i="1"/>
  <c r="N13" i="1"/>
  <c r="N2" i="1"/>
</calcChain>
</file>

<file path=xl/sharedStrings.xml><?xml version="1.0" encoding="utf-8"?>
<sst xmlns="http://schemas.openxmlformats.org/spreadsheetml/2006/main" count="412" uniqueCount="302">
  <si>
    <t>Problema ↓ \ Influye sobre →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</si>
  <si>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</si>
  <si>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</si>
  <si>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</si>
  <si>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</si>
  <si>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</si>
  <si>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</si>
  <si>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</si>
  <si>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</si>
  <si>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</si>
  <si>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</si>
  <si>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</si>
  <si>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</si>
  <si>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F (Influencia)</t>
  </si>
  <si>
    <t>P1. No existe un sistema digital</t>
  </si>
  <si>
    <t>P2. Errores en registros manuales</t>
  </si>
  <si>
    <t>P3. Pérdida de info por deterioro de registros físicos</t>
  </si>
  <si>
    <t>P4. No se conoce disponibilidad de libros en tiempo real</t>
  </si>
  <si>
    <t>P5. No hay reportes estadísticos de uso</t>
  </si>
  <si>
    <t>P6. Tareas repetitivas y manuales consumen tiempo</t>
  </si>
  <si>
    <t>P7. Sanciones erróneas por falta de trazabilidad</t>
  </si>
  <si>
    <t>P8. No hay respaldo digital de registros</t>
  </si>
  <si>
    <t>P9. Inventario lento e impreciso</t>
  </si>
  <si>
    <t>P10. Desconfianza en el sistema actual</t>
  </si>
  <si>
    <t>P11. Múltiples niveles de aprobación</t>
  </si>
  <si>
    <t>P12. Falta de capacitación del personal</t>
  </si>
  <si>
    <t>D (Dependencia)</t>
  </si>
  <si>
    <t>PROBLEMA</t>
  </si>
  <si>
    <t>INFLUENCIA</t>
  </si>
  <si>
    <t>DEPENDENCIA</t>
  </si>
  <si>
    <t>Nivel</t>
  </si>
  <si>
    <t>Descripción</t>
  </si>
  <si>
    <t>Indicadores</t>
  </si>
  <si>
    <t>Medios de Verificación</t>
  </si>
  <si>
    <t>Supuestos</t>
  </si>
  <si>
    <t>Riesgos</t>
  </si>
  <si>
    <t>Mejorar la eficiencia y trazabilidad institucional mediante un sistema digital para gestionar proyectos.</t>
  </si>
  <si>
    <t>Crear una herramienta digital segura y centralizada para la gestión y respaldo de proyectos.</t>
  </si>
  <si>
    <r>
      <t>Fin</t>
    </r>
    <r>
      <rPr>
        <i/>
        <sz val="11"/>
        <color theme="1"/>
        <rFont val="Aptos Narrow"/>
        <family val="2"/>
        <scheme val="minor"/>
      </rPr>
      <t>(Efectos, problemas pasivos)</t>
    </r>
    <r>
      <rPr>
        <b/>
        <sz val="11"/>
        <color theme="1"/>
        <rFont val="Aptos Narrow"/>
        <family val="2"/>
        <scheme val="minor"/>
      </rPr>
      <t>¿Por qué es importante?</t>
    </r>
  </si>
  <si>
    <r>
      <t xml:space="preserve">Sistema implementado, validado y funcionando correctamente a más tardar el </t>
    </r>
    <r>
      <rPr>
        <b/>
        <sz val="11"/>
        <color theme="1"/>
        <rFont val="Aptos Narrow"/>
        <family val="2"/>
        <scheme val="minor"/>
      </rPr>
      <t>10 de octubre de 2025</t>
    </r>
    <r>
      <rPr>
        <sz val="11"/>
        <color theme="1"/>
        <rFont val="Aptos Narrow"/>
        <family val="2"/>
        <scheme val="minor"/>
      </rPr>
      <t>.</t>
    </r>
  </si>
  <si>
    <t>Documento técnico de implementación firmado por el comité de calidad. Disponible en la Oficina de Planeación y enviado por correo desde proyectos@institucion.edu. Responsable: Jefe de Planeación.</t>
  </si>
  <si>
    <t>La alta dirección respalda el uso del sistema y se establecen lineamientos claros para su adopción.</t>
  </si>
  <si>
    <t>El sistema puede ser ignorado si no está alineado con las políticas institucionales o hay desinterés.</t>
  </si>
  <si>
    <r>
      <t>Propósito</t>
    </r>
    <r>
      <rPr>
        <i/>
        <sz val="11"/>
        <color theme="1"/>
        <rFont val="Aptos Narrow"/>
        <family val="2"/>
        <scheme val="minor"/>
      </rPr>
      <t>(Problema Principal)</t>
    </r>
    <r>
      <rPr>
        <b/>
        <sz val="11"/>
        <color theme="1"/>
        <rFont val="Aptos Narrow"/>
        <family val="2"/>
        <scheme val="minor"/>
      </rPr>
      <t>¿Por qué es necesaria?</t>
    </r>
  </si>
  <si>
    <r>
      <t xml:space="preserve">Al menos el </t>
    </r>
    <r>
      <rPr>
        <b/>
        <sz val="11"/>
        <color theme="1"/>
        <rFont val="Aptos Narrow"/>
        <family val="2"/>
        <scheme val="minor"/>
      </rPr>
      <t>85%</t>
    </r>
    <r>
      <rPr>
        <sz val="11"/>
        <color theme="1"/>
        <rFont val="Aptos Narrow"/>
        <family val="2"/>
        <scheme val="minor"/>
      </rPr>
      <t xml:space="preserve"> de los proyectos institucionales registrados y activos en la plataforma antes del </t>
    </r>
    <r>
      <rPr>
        <b/>
        <sz val="11"/>
        <color theme="1"/>
        <rFont val="Aptos Narrow"/>
        <family val="2"/>
        <scheme val="minor"/>
      </rPr>
      <t>30 de agosto de 2025</t>
    </r>
    <r>
      <rPr>
        <sz val="11"/>
        <color theme="1"/>
        <rFont val="Aptos Narrow"/>
        <family val="2"/>
        <scheme val="minor"/>
      </rPr>
      <t>.</t>
    </r>
  </si>
  <si>
    <t>Informe de registros generado automáticamente y validado por el Área de Tecnología. Consultable en el servidor institucional y por correo infraestructura@institucion.edu. Responsable: Director de Tecnología.</t>
  </si>
  <si>
    <t>Se cuenta con infraestructura tecnológica y los usuarios tienen disposición para adoptar el sistema.</t>
  </si>
  <si>
    <t>Los usuarios pueden resistirse a cambiar sus procesos actuales o la infraestructura puede fallar.</t>
  </si>
  <si>
    <r>
      <t>Componentes</t>
    </r>
    <r>
      <rPr>
        <i/>
        <sz val="11"/>
        <color theme="1"/>
        <rFont val="Aptos Narrow"/>
        <family val="2"/>
        <scheme val="minor"/>
      </rPr>
      <t>(Problemas activos, causas del problema principal)</t>
    </r>
    <r>
      <rPr>
        <b/>
        <sz val="11"/>
        <color theme="1"/>
        <rFont val="Aptos Narrow"/>
        <family val="2"/>
        <scheme val="minor"/>
      </rPr>
      <t>¿Qué entregará el proyecto?</t>
    </r>
  </si>
  <si>
    <t>1. Sistema web operativo con funcionalidades de ingreso, consulta y reportes.2. Configuración de respaldo automático semanal.3. Capacitación institucional del personal.</t>
  </si>
  <si>
    <r>
      <t xml:space="preserve">1. Prototipo funcional entregado antes del </t>
    </r>
    <r>
      <rPr>
        <b/>
        <sz val="11"/>
        <color theme="1"/>
        <rFont val="Aptos Narrow"/>
        <family val="2"/>
        <scheme val="minor"/>
      </rPr>
      <t>15 de julio de 2025</t>
    </r>
    <r>
      <rPr>
        <sz val="11"/>
        <color theme="1"/>
        <rFont val="Aptos Narrow"/>
        <family val="2"/>
        <scheme val="minor"/>
      </rPr>
      <t xml:space="preserve">. Versión final para el </t>
    </r>
    <r>
      <rPr>
        <b/>
        <sz val="11"/>
        <color theme="1"/>
        <rFont val="Aptos Narrow"/>
        <family val="2"/>
        <scheme val="minor"/>
      </rPr>
      <t>30 de agosto de 2025</t>
    </r>
    <r>
      <rPr>
        <sz val="11"/>
        <color theme="1"/>
        <rFont val="Aptos Narrow"/>
        <family val="2"/>
        <scheme val="minor"/>
      </rPr>
      <t xml:space="preserve">.2. Cron de respaldo activo y funcional antes del </t>
    </r>
    <r>
      <rPr>
        <b/>
        <sz val="11"/>
        <color theme="1"/>
        <rFont val="Aptos Narrow"/>
        <family val="2"/>
        <scheme val="minor"/>
      </rPr>
      <t>20 de septiembre de 2025</t>
    </r>
    <r>
      <rPr>
        <sz val="11"/>
        <color theme="1"/>
        <rFont val="Aptos Narrow"/>
        <family val="2"/>
        <scheme val="minor"/>
      </rPr>
      <t xml:space="preserve">.3. Tres sesiones de capacitación con al menos </t>
    </r>
    <r>
      <rPr>
        <b/>
        <sz val="11"/>
        <color theme="1"/>
        <rFont val="Aptos Narrow"/>
        <family val="2"/>
        <scheme val="minor"/>
      </rPr>
      <t>80%</t>
    </r>
    <r>
      <rPr>
        <sz val="11"/>
        <color theme="1"/>
        <rFont val="Aptos Narrow"/>
        <family val="2"/>
        <scheme val="minor"/>
      </rPr>
      <t xml:space="preserve"> de asistencia antes del </t>
    </r>
    <r>
      <rPr>
        <b/>
        <sz val="11"/>
        <color theme="1"/>
        <rFont val="Aptos Narrow"/>
        <family val="2"/>
        <scheme val="minor"/>
      </rPr>
      <t>10 de septiembre de 2025</t>
    </r>
    <r>
      <rPr>
        <sz val="11"/>
        <color theme="1"/>
        <rFont val="Aptos Narrow"/>
        <family val="2"/>
        <scheme val="minor"/>
      </rPr>
      <t>.</t>
    </r>
  </si>
  <si>
    <r>
      <t xml:space="preserve">1. Manual técnico y capturas de pantalla, disponibles en la Oficina de Desarrollo Tecnológico. Validación enviada desde </t>
    </r>
    <r>
      <rPr>
        <b/>
        <sz val="11"/>
        <color theme="1"/>
        <rFont val="Aptos Narrow"/>
        <family val="2"/>
        <scheme val="minor"/>
      </rPr>
      <t>desarrollo@institucion.edu</t>
    </r>
    <r>
      <rPr>
        <sz val="11"/>
        <color theme="1"/>
        <rFont val="Aptos Narrow"/>
        <family val="2"/>
        <scheme val="minor"/>
      </rPr>
      <t xml:space="preserve">.2. Log de tareas programadas revisado por Infraestructura TI, disponible en carpeta compartida.3. Listas de asistencia y resultados de encuestas disponibles en la Oficina de Formación Interna. Contacto: </t>
    </r>
    <r>
      <rPr>
        <b/>
        <sz val="11"/>
        <color theme="1"/>
        <rFont val="Aptos Narrow"/>
        <family val="2"/>
        <scheme val="minor"/>
      </rPr>
      <t>formacion@institucion.edu</t>
    </r>
    <r>
      <rPr>
        <sz val="11"/>
        <color theme="1"/>
        <rFont val="Aptos Narrow"/>
        <family val="2"/>
        <scheme val="minor"/>
      </rPr>
      <t>.</t>
    </r>
  </si>
  <si>
    <t>Los equipos técnicos están disponibles y cuentan con tiempo asignado. Los funcionarios institucionales participan activamente.</t>
  </si>
  <si>
    <t>Cambios de requerimientos, fallas técnicas o baja asistencia a capacitaciones pueden afectar los entregables.</t>
  </si>
  <si>
    <r>
      <t>Actividades</t>
    </r>
    <r>
      <rPr>
        <i/>
        <sz val="11"/>
        <color theme="1"/>
        <rFont val="Aptos Narrow"/>
        <family val="2"/>
        <scheme val="minor"/>
      </rPr>
      <t>(Actividades que mitigan las causas o problemas activos)</t>
    </r>
    <r>
      <rPr>
        <b/>
        <sz val="11"/>
        <color theme="1"/>
        <rFont val="Aptos Narrow"/>
        <family val="2"/>
        <scheme val="minor"/>
      </rPr>
      <t>Cada componente tiene sus propias actividades</t>
    </r>
  </si>
  <si>
    <r>
      <t>Para el Sistema Web:</t>
    </r>
    <r>
      <rPr>
        <sz val="11"/>
        <color theme="1"/>
        <rFont val="Aptos Narrow"/>
        <family val="2"/>
        <scheme val="minor"/>
      </rPr>
      <t>- A1: Levantamiento de requerimientos (7 días)- A2: Diseño de interfaces (5 días)- A3: Desarrollo backend y base de datos (10 días)- A4: Pruebas funcionales (5 días)- A5: Validación del prototipo (2 días)</t>
    </r>
    <r>
      <rPr>
        <b/>
        <sz val="11"/>
        <color theme="1"/>
        <rFont val="Aptos Narrow"/>
        <family val="2"/>
        <scheme val="minor"/>
      </rPr>
      <t>Para el Respaldo Automático:</t>
    </r>
    <r>
      <rPr>
        <sz val="11"/>
        <color theme="1"/>
        <rFont val="Aptos Narrow"/>
        <family val="2"/>
        <scheme val="minor"/>
      </rPr>
      <t>- B1: Diseño de política de respaldo (3 días)- B2: Configuración del cron (2 días)- B3: Validación técnica (3 días)- B4: Documentación (2 días)</t>
    </r>
    <r>
      <rPr>
        <b/>
        <sz val="11"/>
        <color theme="1"/>
        <rFont val="Aptos Narrow"/>
        <family val="2"/>
        <scheme val="minor"/>
      </rPr>
      <t>Para la Capacitación:</t>
    </r>
    <r>
      <rPr>
        <sz val="11"/>
        <color theme="1"/>
        <rFont val="Aptos Narrow"/>
        <family val="2"/>
        <scheme val="minor"/>
      </rPr>
      <t>- C1: Diseño de material (4 días)- C2: Planificación de sesiones (2 días)- C3: Ejecución de sesiones (6 días)- C4: Recolección de feedback (2 días)- C5: Informe final (2 días)</t>
    </r>
  </si>
  <si>
    <t>Cronograma de actividades con fechas de entrega validadas entre junio y septiembre de 2025.</t>
  </si>
  <si>
    <t>Bitácoras de avance, reportes parciales y actas de revisión disponibles en Secretaría Técnica del Proyecto. Copias enviadas a través de seguimiento@institucion.edu.</t>
  </si>
  <si>
    <t>El equipo técnico cumple tiempos establecidos y los usuarios están disponibles para las sesiones programadas.</t>
  </si>
  <si>
    <t>Atrasos en desarrollo o falta de respuesta de usuarios puede alterar cronograma.</t>
  </si>
  <si>
    <t>GRUPO 0</t>
  </si>
  <si>
    <t>GRUPO 1</t>
  </si>
  <si>
    <t>GRUPO 2</t>
  </si>
  <si>
    <t>GRUPO 3</t>
  </si>
  <si>
    <t>GRUPO 4</t>
  </si>
  <si>
    <t>GRUPO 5</t>
  </si>
  <si>
    <t>LEVANTAMIENTO DE REQUERIMIENTOS</t>
  </si>
  <si>
    <t>Duración</t>
  </si>
  <si>
    <t>Dependencia</t>
  </si>
  <si>
    <t>Recurso</t>
  </si>
  <si>
    <t>R1</t>
  </si>
  <si>
    <t>R3</t>
  </si>
  <si>
    <t>R4</t>
  </si>
  <si>
    <t>R2</t>
  </si>
  <si>
    <t>R5</t>
  </si>
  <si>
    <t>6d</t>
  </si>
  <si>
    <t>7FI</t>
  </si>
  <si>
    <t>Grupo</t>
  </si>
  <si>
    <t>Objetivo Estratégico</t>
  </si>
  <si>
    <t>Indicador</t>
  </si>
  <si>
    <t>Medio de Verificación</t>
  </si>
  <si>
    <t>Supuesto</t>
  </si>
  <si>
    <t>Riesgo</t>
  </si>
  <si>
    <t>GRUPO 0 – Levantamiento de Requerimientos</t>
  </si>
  <si>
    <t>Establecer los requerimientos funcionales y no funcionales del sistema, en coherencia con las necesidades de los usuarios.</t>
  </si>
  <si>
    <t>Documento de especificación de requerimientos elaborado según estándar IEEE 830, entregado el 15 de julio de 2025.</t>
  </si>
  <si>
    <t>Documento PDF descargable desde: https://goo.gl/Ly1Vqe</t>
  </si>
  <si>
    <t>Disponibilidad del personal clave y apoyo institucional para recolección de requerimientos.</t>
  </si>
  <si>
    <t>Falta de disposición de los empleados o ausencia de claridad en las necesidades.</t>
  </si>
  <si>
    <t>GRUPO 1 – Diseño Técnico</t>
  </si>
  <si>
    <t>Crear los modelos arquitectónicos y de interfaces gráficas que servirán de base para el desarrollo del sistema.</t>
  </si>
  <si>
    <t>Documento con diagramas de arquitectura, interfaces y modelos de datos, aprobado el 30 de julio de 2025.</t>
  </si>
  <si>
    <t>Carpeta con archivos en formato PDF y PNG almacenados en repositorio compartido: https://goo.gl/gve9z2</t>
  </si>
  <si>
    <t>Que los requerimientos ya estén definidos y aprobados. Que los usuarios participen en la validación de los diseños.</t>
  </si>
  <si>
    <t>Cambios frecuentes en requerimientos o validaciones tardías que obliguen a rediseñar componentes.</t>
  </si>
  <si>
    <t>GRUPO 2 – Desarrollo y Pruebas</t>
  </si>
  <si>
    <t>Implementar y validar funcionalmente el sistema web basado en los requerimientos y diseños aprobados.</t>
  </si>
  <si>
    <t>Módulos funcionales del sistema desplegados y validados, cumpliendo con el 95% de las pruebas funcionales y de integración. Fecha de entrega: 20 de septiembre de 2025.</t>
  </si>
  <si>
    <t>Informe de pruebas, versión estable del sistema en servidor de pruebas, video de demostración.</t>
  </si>
  <si>
    <t>Que el entorno de pruebas esté correctamente configurado y que el equipo de desarrollo tenga acceso continuo a los diseños y requerimientos.</t>
  </si>
  <si>
    <t>Retrasos en el desarrollo, errores críticos sin solución o falta de pruebas por parte de los usuarios.</t>
  </si>
  <si>
    <t>Actividades</t>
  </si>
  <si>
    <t>GRUPO 2 – Desarrollo y pruebas</t>
  </si>
  <si>
    <t>GRUPO 3 – Respaldo</t>
  </si>
  <si>
    <t>GRUPO 4 – Capacitación</t>
  </si>
  <si>
    <t>GRUPO 5 – Gestión y documentación</t>
  </si>
  <si>
    <t>Total estimado</t>
  </si>
  <si>
    <t>Garantizar la disponibilidad y recuperación del sistema y sus datos mediante esquemas de respaldo y contingencia.</t>
  </si>
  <si>
    <t>Plan de respaldo implementado, con pruebas de recuperación exitosas, entregado el 25 de septiembre de 2025.</t>
  </si>
  <si>
    <t>Manual del plan de respaldo en PDF, bitácora de pruebas de restauración y copias automáticas programadas.</t>
  </si>
  <si>
    <t>Que exista infraestructura disponible (servidores o servicios en la nube) para implementar respaldos.</t>
  </si>
  <si>
    <t>Falla técnica en la copia de seguridad o pérdida de datos por no ejecutar los respaldos de manera periódica.</t>
  </si>
  <si>
    <t>Formar a los usuarios finales en el uso del sistema desarrollado para garantizar una apropiación adecuada.</t>
  </si>
  <si>
    <t>3 sesiones de capacitación realizadas, mínimo el 90% de asistencia y satisfacción superior al 85%, para el 1 de octubre de 2025.</t>
  </si>
  <si>
    <t>Lista de asistencia, encuestas de satisfacción, presentaciones y grabaciones de las sesiones.</t>
  </si>
  <si>
    <t>Que los usuarios estén disponibles para las capacitaciones en los tiempos definidos.</t>
  </si>
  <si>
    <t>Ausencia de usuarios clave en las sesiones o bajo nivel de apropiación del sistema.</t>
  </si>
  <si>
    <t>GRUPO 5 – Gestión y Documentación</t>
  </si>
  <si>
    <t>Consolidar toda la documentación técnica y administrativa del proyecto para su entrega formal.</t>
  </si>
  <si>
    <t>Entrega de carpeta final con manuales, informes y actas, cumpliendo con los requisitos del cliente, el 5 de octubre de 2025.</t>
  </si>
  <si>
    <t>Repositorio digital con todos los documentos organizados por fases, firmado por el líder del proyecto.</t>
  </si>
  <si>
    <t>Que cada miembro del equipo entregue a tiempo su parte documental.</t>
  </si>
  <si>
    <t>Omisión de documentos clave o desorganización en la entrega final.</t>
  </si>
  <si>
    <t>Código</t>
  </si>
  <si>
    <t>Vlr/hora</t>
  </si>
  <si>
    <t>Coordinador de capacitación</t>
  </si>
  <si>
    <t>$55.000</t>
  </si>
  <si>
    <t>Ingeniero de respaldo</t>
  </si>
  <si>
    <t>$50.000</t>
  </si>
  <si>
    <t>Técnico de infraestructura/servidores</t>
  </si>
  <si>
    <t>$45.000</t>
  </si>
  <si>
    <t>Líder de proyecto</t>
  </si>
  <si>
    <t>$60.000</t>
  </si>
  <si>
    <t>Documentador técnico</t>
  </si>
  <si>
    <t>$42.000</t>
  </si>
  <si>
    <t>R6</t>
  </si>
  <si>
    <t>Facilitador de usuarios finales</t>
  </si>
  <si>
    <t>$40.000</t>
  </si>
  <si>
    <t>R7</t>
  </si>
  <si>
    <t>Analista de proyecto</t>
  </si>
  <si>
    <t>R8</t>
  </si>
  <si>
    <t>Especialista en documentación digital</t>
  </si>
  <si>
    <t>$48.000</t>
  </si>
  <si>
    <t>R9</t>
  </si>
  <si>
    <t>Licencia de Software de Backup</t>
  </si>
  <si>
    <t>$8.000.000</t>
  </si>
  <si>
    <t>R10</t>
  </si>
  <si>
    <t>Servidor NAS externo HP</t>
  </si>
  <si>
    <t>$15.000.000</t>
  </si>
  <si>
    <t>R11</t>
  </si>
  <si>
    <t>Plataforma LMS (capacitación online)</t>
  </si>
  <si>
    <t>$9.500.000</t>
  </si>
  <si>
    <t>R12</t>
  </si>
  <si>
    <t>Hosting y Dominio Web</t>
  </si>
  <si>
    <t>$4.000.000</t>
  </si>
  <si>
    <t>R13</t>
  </si>
  <si>
    <t>Tabletas para capacitación (x4)</t>
  </si>
  <si>
    <t>$10.000.000</t>
  </si>
  <si>
    <t>Configurar servidor de respaldo seguro</t>
  </si>
  <si>
    <t>Verificar compatibilidad del software de respaldo</t>
  </si>
  <si>
    <t>4 días</t>
  </si>
  <si>
    <t>Realizar pruebas de recuperación de respaldo</t>
  </si>
  <si>
    <t>5 días</t>
  </si>
  <si>
    <t>Diseñar contenido del plan de capacitación</t>
  </si>
  <si>
    <t>Ejecutar jornadas de capacitación a usuarios</t>
  </si>
  <si>
    <t>6 días</t>
  </si>
  <si>
    <t>Crear plantilla estándar IEEE 830 para documentación</t>
  </si>
  <si>
    <t>3 días</t>
  </si>
  <si>
    <t>3FI</t>
  </si>
  <si>
    <t>Recolectar requisitos junto a usuarios clave</t>
  </si>
  <si>
    <t>7 días</t>
  </si>
  <si>
    <t>5FI</t>
  </si>
  <si>
    <t>Documentar requerimientos técnicos y funcionales</t>
  </si>
  <si>
    <t>8 días</t>
  </si>
  <si>
    <t>Validar y entregar documento IEEE 830 al cliente</t>
  </si>
  <si>
    <t>2 días</t>
  </si>
  <si>
    <t>Fecha de entrega: 15/07/2025</t>
  </si>
  <si>
    <t>Revisión de requerimientos funcionales y no funcionales</t>
  </si>
  <si>
    <t>Diseño preliminar de arquitectura del sistema</t>
  </si>
  <si>
    <t>Definir modelo de datos lógico</t>
  </si>
  <si>
    <t>Establecer modelos de flujo de información y procesos</t>
  </si>
  <si>
    <t>Elaborar prototipos de interfaz de usuario</t>
  </si>
  <si>
    <t>Integrar diseño de arquitectura, interfaz y base de datos</t>
  </si>
  <si>
    <t>Validación técnica del diseño por el equipo de desarrollo</t>
  </si>
  <si>
    <t>Aprobación del documento final con diagramas técnicos</t>
  </si>
  <si>
    <t>Fecha de entrega: 30/07/2025</t>
  </si>
  <si>
    <t>DISEÑO TECNICO</t>
  </si>
  <si>
    <t>DESARROLLO Y PRUEBAS</t>
  </si>
  <si>
    <t>Preparar entorno de desarrollo e instalación de herramientas</t>
  </si>
  <si>
    <t>Configurar base de datos y servidor de pruebas</t>
  </si>
  <si>
    <t>Desarrollar módulo de autenticación y usuarios</t>
  </si>
  <si>
    <t>Desarrollar módulo de gestión de datos (CRUD principal)</t>
  </si>
  <si>
    <t>10 días</t>
  </si>
  <si>
    <t>Desarrollar módulo de visualización/reportes</t>
  </si>
  <si>
    <t>Integrar módulos y realizar pruebas de integración</t>
  </si>
  <si>
    <t>Corrección de errores y refactorización</t>
  </si>
  <si>
    <t>R4, R5</t>
  </si>
  <si>
    <t>Desarrollar documentación técnica del código</t>
  </si>
  <si>
    <t>Pruebas funcionales (casos de uso, flujos)</t>
  </si>
  <si>
    <t>Pruebas de integración final (entre módulos)</t>
  </si>
  <si>
    <t>Validación técnica con usuario o actor clave</t>
  </si>
  <si>
    <t>10FI</t>
  </si>
  <si>
    <t>Despliegue de módulos funcionales en entorno productivo</t>
  </si>
  <si>
    <t>Fecha de entrega:20/10/2025</t>
  </si>
  <si>
    <t>GRUPO 3 – Respaldo automatico</t>
  </si>
  <si>
    <t>RESPALDO AUTOMATICO</t>
  </si>
  <si>
    <t>Seleccionar herramientas y medios de respaldo</t>
  </si>
  <si>
    <t>Configurar sistema automático de respaldo</t>
  </si>
  <si>
    <t>Documentar el procedimiento de respaldo y restauración</t>
  </si>
  <si>
    <t>Realizar pruebas de respaldo y restauración</t>
  </si>
  <si>
    <t>Ajustes finales y validación del plan de respaldo</t>
  </si>
  <si>
    <t>Identificar perfiles y necesidades de capacitación</t>
  </si>
  <si>
    <t>CAPACITACION</t>
  </si>
  <si>
    <t>Diseñar material y plan de capacitación</t>
  </si>
  <si>
    <t>Validar material con expertos y ajustar según retroalimentación</t>
  </si>
  <si>
    <t>Coordinar logística y agenda de sesiones</t>
  </si>
  <si>
    <t>Realizar primera sesión de capacitación</t>
  </si>
  <si>
    <t>1 día</t>
  </si>
  <si>
    <t>Realizar segunda y tercera sesión de capacitación (consolidada)</t>
  </si>
  <si>
    <t>Aplicar encuesta de satisfacción y generar informe de asistencia</t>
  </si>
  <si>
    <t>Fecha entregable: 01/10/2025</t>
  </si>
  <si>
    <t>Fecha entregable: 25/09/2025</t>
  </si>
  <si>
    <t>GESTION Y DOCUMENTACION</t>
  </si>
  <si>
    <t>Recolectar actas, reportes y entregables de todos los grupos</t>
  </si>
  <si>
    <t>Estandarizar formato de documentos según lineamientos del cliente</t>
  </si>
  <si>
    <t>Redactar manual técnico y manual de usuario</t>
  </si>
  <si>
    <t>Validar manuales y entregables con stakeholders</t>
  </si>
  <si>
    <t>Ajustes y correcciones finales según retroalimentación</t>
  </si>
  <si>
    <t>Consolidar carpeta final con todos los documentos</t>
  </si>
  <si>
    <t>Revisar cumplimiento de requisitos del cliente</t>
  </si>
  <si>
    <t>Entregar carpeta final al cliente con acta de cierre</t>
  </si>
  <si>
    <t>Fecha entregable: 05/10/2025</t>
  </si>
  <si>
    <t>4FI</t>
  </si>
  <si>
    <t>DISEÑO DE UN CRUD DE BIBLIOTECA</t>
  </si>
  <si>
    <t>Definir política y frecuencia de respaldo</t>
  </si>
  <si>
    <t>6FI-3</t>
  </si>
  <si>
    <t>3II+2</t>
  </si>
  <si>
    <t>8FI+4</t>
  </si>
  <si>
    <t xml:space="preserve">8FI  </t>
  </si>
  <si>
    <t xml:space="preserve">13FI  </t>
  </si>
  <si>
    <t xml:space="preserve">13FI, 14FI  </t>
  </si>
  <si>
    <t xml:space="preserve">14FI, 15FI  </t>
  </si>
  <si>
    <t xml:space="preserve">13FI, 16FI  </t>
  </si>
  <si>
    <t xml:space="preserve">14FI, 15FI, 16FI, 17FI  </t>
  </si>
  <si>
    <t xml:space="preserve">18FI  </t>
  </si>
  <si>
    <t xml:space="preserve">19FI </t>
  </si>
  <si>
    <t xml:space="preserve">20FI  </t>
  </si>
  <si>
    <t xml:space="preserve">22FI  </t>
  </si>
  <si>
    <t xml:space="preserve">22FI, 23FI  </t>
  </si>
  <si>
    <t xml:space="preserve">24FI, 25FI, 26FI  </t>
  </si>
  <si>
    <t xml:space="preserve">27FI  </t>
  </si>
  <si>
    <t xml:space="preserve">28FI, 29FI  </t>
  </si>
  <si>
    <t xml:space="preserve">30FI  </t>
  </si>
  <si>
    <t xml:space="preserve">31FI  </t>
  </si>
  <si>
    <t>32FI</t>
  </si>
  <si>
    <t xml:space="preserve">33FI  </t>
  </si>
  <si>
    <t xml:space="preserve">35FI  </t>
  </si>
  <si>
    <t xml:space="preserve">36FI  </t>
  </si>
  <si>
    <t xml:space="preserve">37II  </t>
  </si>
  <si>
    <t xml:space="preserve">37FI  </t>
  </si>
  <si>
    <t>38FI, 39FI</t>
  </si>
  <si>
    <t xml:space="preserve">40FI  </t>
  </si>
  <si>
    <t xml:space="preserve">42FI  </t>
  </si>
  <si>
    <t xml:space="preserve">43FI  </t>
  </si>
  <si>
    <t xml:space="preserve">43II  </t>
  </si>
  <si>
    <t xml:space="preserve">44FI, 45FI  </t>
  </si>
  <si>
    <t xml:space="preserve">46FI  </t>
  </si>
  <si>
    <t xml:space="preserve">47FI </t>
  </si>
  <si>
    <t xml:space="preserve">48FI  </t>
  </si>
  <si>
    <t xml:space="preserve">50FI  </t>
  </si>
  <si>
    <t xml:space="preserve">52FI  </t>
  </si>
  <si>
    <t xml:space="preserve">53FI  </t>
  </si>
  <si>
    <t xml:space="preserve">51FI, 54FI  </t>
  </si>
  <si>
    <t xml:space="preserve">55FI  </t>
  </si>
  <si>
    <t xml:space="preserve">56FI </t>
  </si>
  <si>
    <t xml:space="preserve">R2, R3  </t>
  </si>
  <si>
    <t xml:space="preserve">R2  </t>
  </si>
  <si>
    <t xml:space="preserve">R1, R5, R7  </t>
  </si>
  <si>
    <t xml:space="preserve">R1, R6, R11, R13  </t>
  </si>
  <si>
    <t xml:space="preserve">R5, R8  </t>
  </si>
  <si>
    <t xml:space="preserve">R4, R7  </t>
  </si>
  <si>
    <t xml:space="preserve">R5, R7  </t>
  </si>
  <si>
    <t xml:space="preserve">R4, R5  </t>
  </si>
  <si>
    <t xml:space="preserve">R3, R5, R7  </t>
  </si>
  <si>
    <t xml:space="preserve">R3, R4  </t>
  </si>
  <si>
    <t xml:space="preserve">R4, R8  </t>
  </si>
  <si>
    <t xml:space="preserve">R2, R3, R5  </t>
  </si>
  <si>
    <t xml:space="preserve">R3, R6  </t>
  </si>
  <si>
    <t xml:space="preserve">R3, R4, R5  </t>
  </si>
  <si>
    <t xml:space="preserve">R5  </t>
  </si>
  <si>
    <t xml:space="preserve">R2, R4  </t>
  </si>
  <si>
    <t>R3, R6</t>
  </si>
  <si>
    <t xml:space="preserve">R2, R7  </t>
  </si>
  <si>
    <t xml:space="preserve">R3, R6, R7  </t>
  </si>
  <si>
    <t xml:space="preserve">R2, R7 </t>
  </si>
  <si>
    <t xml:space="preserve">R1, R6  </t>
  </si>
  <si>
    <t xml:space="preserve">R5, R6  </t>
  </si>
  <si>
    <t xml:space="preserve">R1  </t>
  </si>
  <si>
    <t xml:space="preserve">R6, R11  </t>
  </si>
  <si>
    <t xml:space="preserve">R6, R13  </t>
  </si>
  <si>
    <t xml:space="preserve">R1, R4  </t>
  </si>
  <si>
    <t xml:space="preserve">R1, R4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</si>
</sst>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24"/>
      <color theme="1"/>
      <name val="Calibri"/>
      <family val="2"/>
    </font>
    <font>
      <b/>
      <i/>
      <sz val="11"/>
      <color theme="1"/>
      <name val="Calibri"/>
      <family val="2"/>
    </font>
    <font>
      <sz val="24"/>
      <color rgb="FF0070C0"/>
      <name val="Calibri"/>
      <family val="2"/>
    </font>
    <font>
      <b/>
      <sz val="11"/>
      <color theme="1"/>
      <name val="Calibri"/>
      <family val="2"/>
    </font>
    <font>
      <b/>
      <i/>
      <sz val="11"/>
      <color rgb="FF00B050"/>
      <name val="Calibri"/>
      <family val="2"/>
    </font>
    <font>
      <b/>
      <i/>
      <sz val="11"/>
      <color rgb="FF00B0F0"/>
      <name val="Calibri"/>
      <family val="2"/>
    </font>
    <font>
      <b/>
      <i/>
      <sz val="11"/>
      <color rgb="FFF79646"/>
      <name val="Calibri"/>
      <family val="2"/>
    </font>
    <font>
      <sz val="11"/>
      <color rgb="FF0070C0"/>
      <name val="Calibri"/>
      <family val="2"/>
    </font>
    <font>
      <sz val="11"/>
      <color rgb="FF00B050"/>
      <name val="Calibri"/>
      <family val="2"/>
    </font>
    <font>
      <sz val="11"/>
      <color rgb="FFF79646"/>
      <name val="Calibri"/>
      <family val="2"/>
    </font>
    <font>
      <sz val="11"/>
      <color rgb="FF00B0F0"/>
      <name val="Calibri"/>
      <family val="2"/>
    </font>
    <font>
      <sz val="11"/>
      <color rgb="FFFF9900"/>
      <name val="Calibri"/>
      <family val="2"/>
    </font>
    <font>
      <sz val="11"/>
      <color rgb="FFFF6D01"/>
      <name val="Calibri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5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9"/>
      <name val="Calibri"/>
      <family val="2"/>
    </font>
    <font>
      <sz val="11"/>
      <color theme="7"/>
      <name val="Aptos Narrow"/>
      <family val="2"/>
      <scheme val="minor"/>
    </font>
    <font>
      <sz val="11"/>
      <color theme="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0" borderId="0" xfId="1" applyAlignment="1">
      <alignment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4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6" fillId="0" borderId="10" xfId="0" applyFont="1" applyBorder="1" applyAlignment="1">
      <alignment wrapText="1"/>
    </xf>
    <xf numFmtId="0" fontId="22" fillId="0" borderId="10" xfId="0" applyFont="1" applyBorder="1"/>
    <xf numFmtId="0" fontId="0" fillId="0" borderId="10" xfId="0" applyBorder="1" applyAlignment="1">
      <alignment vertical="center" wrapText="1"/>
    </xf>
    <xf numFmtId="0" fontId="0" fillId="0" borderId="10" xfId="0" applyBorder="1"/>
    <xf numFmtId="0" fontId="17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6" fillId="7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20" fillId="5" borderId="0" xfId="0" applyFont="1" applyFill="1" applyAlignment="1">
      <alignment wrapText="1"/>
    </xf>
    <xf numFmtId="0" fontId="20" fillId="5" borderId="0" xfId="0" applyFont="1" applyFill="1" applyAlignment="1">
      <alignment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15" fontId="21" fillId="0" borderId="0" xfId="0" applyNumberFormat="1" applyFont="1" applyAlignment="1">
      <alignment horizontal="right" wrapText="1"/>
    </xf>
    <xf numFmtId="0" fontId="22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wrapText="1"/>
    </xf>
    <xf numFmtId="0" fontId="6" fillId="6" borderId="10" xfId="0" applyFont="1" applyFill="1" applyBorder="1" applyAlignment="1">
      <alignment wrapText="1"/>
    </xf>
    <xf numFmtId="0" fontId="19" fillId="0" borderId="10" xfId="0" applyFont="1" applyBorder="1" applyAlignment="1">
      <alignment horizontal="center" wrapText="1"/>
    </xf>
    <xf numFmtId="0" fontId="25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5" borderId="2" xfId="0" applyFont="1" applyFill="1" applyBorder="1" applyAlignment="1">
      <alignment horizontal="righ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'Matriz de vester'!$R$2:$R$13</c:f>
              <c:numCache>
                <c:formatCode>General</c:formatCode>
                <c:ptCount val="12"/>
                <c:pt idx="0">
                  <c:v>25</c:v>
                </c:pt>
                <c:pt idx="1">
                  <c:v>16</c:v>
                </c:pt>
                <c:pt idx="2">
                  <c:v>16</c:v>
                </c:pt>
                <c:pt idx="3">
                  <c:v>8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18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14</c:v>
                </c:pt>
              </c:numCache>
            </c:numRef>
          </c:xVal>
          <c:yVal>
            <c:numRef>
              <c:f>'Matriz de vester'!$S$2:$S$13</c:f>
              <c:numCache>
                <c:formatCode>General</c:formatCode>
                <c:ptCount val="12"/>
                <c:pt idx="0">
                  <c:v>12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19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7</c:v>
                </c:pt>
                <c:pt idx="1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A-464D-A223-19591A81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713807"/>
        <c:axId val="404697487"/>
      </c:scatterChart>
      <c:valAx>
        <c:axId val="40471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697487"/>
        <c:crosses val="autoZero"/>
        <c:crossBetween val="midCat"/>
      </c:valAx>
      <c:valAx>
        <c:axId val="40469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471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92363</xdr:colOff>
      <xdr:row>2</xdr:row>
      <xdr:rowOff>323272</xdr:rowOff>
    </xdr:from>
    <xdr:to>
      <xdr:col>29</xdr:col>
      <xdr:colOff>600363</xdr:colOff>
      <xdr:row>11</xdr:row>
      <xdr:rowOff>176645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E8E39A6-F50F-892E-5332-952B8B941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eguimiento@institucion.edu" TargetMode="External"/><Relationship Id="rId2" Type="http://schemas.openxmlformats.org/officeDocument/2006/relationships/hyperlink" Target="mailto:infraestructura@institucion.edu" TargetMode="External"/><Relationship Id="rId1" Type="http://schemas.openxmlformats.org/officeDocument/2006/relationships/hyperlink" Target="mailto:proyectos@institucion.edu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oo.gl/gve9z2" TargetMode="External"/><Relationship Id="rId1" Type="http://schemas.openxmlformats.org/officeDocument/2006/relationships/hyperlink" Target="https://goo.gl/Ly1Vq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8308-9DE0-481B-B6E9-55F05B237C17}">
  <dimension ref="A1:S14"/>
  <sheetViews>
    <sheetView zoomScaleNormal="100" workbookViewId="0">
      <selection activeCell="V13" sqref="V13"/>
    </sheetView>
  </sheetViews>
  <sheetFormatPr baseColWidth="10" defaultRowHeight="14.5" x14ac:dyDescent="0.35"/>
  <cols>
    <col min="1" max="1" width="17.08984375" bestFit="1" customWidth="1"/>
    <col min="18" max="18" width="11.36328125" bestFit="1" customWidth="1"/>
    <col min="19" max="19" width="13.36328125" bestFit="1" customWidth="1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4" t="s">
        <v>27</v>
      </c>
      <c r="R1" s="4" t="s">
        <v>28</v>
      </c>
      <c r="S1" s="4" t="s">
        <v>29</v>
      </c>
    </row>
    <row r="2" spans="1:19" ht="29" x14ac:dyDescent="0.35">
      <c r="A2" s="3" t="s">
        <v>14</v>
      </c>
      <c r="B2" s="2">
        <v>0</v>
      </c>
      <c r="C2" s="2">
        <v>2</v>
      </c>
      <c r="D2" s="2">
        <v>3</v>
      </c>
      <c r="E2" s="2">
        <v>3</v>
      </c>
      <c r="F2" s="2">
        <v>3</v>
      </c>
      <c r="G2" s="2">
        <v>2</v>
      </c>
      <c r="H2" s="2">
        <v>2</v>
      </c>
      <c r="I2" s="2">
        <v>2</v>
      </c>
      <c r="J2" s="2">
        <v>2</v>
      </c>
      <c r="K2" s="2">
        <v>1</v>
      </c>
      <c r="L2" s="2">
        <v>2</v>
      </c>
      <c r="M2" s="2">
        <v>3</v>
      </c>
      <c r="N2" s="3">
        <f>SUM(B2:M2)</f>
        <v>25</v>
      </c>
      <c r="Q2" t="s">
        <v>1</v>
      </c>
      <c r="R2" s="2">
        <v>25</v>
      </c>
      <c r="S2">
        <v>12</v>
      </c>
    </row>
    <row r="3" spans="1:19" ht="29" x14ac:dyDescent="0.35">
      <c r="A3" s="3" t="s">
        <v>15</v>
      </c>
      <c r="B3" s="2">
        <v>1</v>
      </c>
      <c r="C3" s="2">
        <v>0</v>
      </c>
      <c r="D3" s="2">
        <v>2</v>
      </c>
      <c r="E3" s="2">
        <v>2</v>
      </c>
      <c r="F3" s="2">
        <v>3</v>
      </c>
      <c r="G3" s="2">
        <v>1</v>
      </c>
      <c r="H3" s="2">
        <v>1</v>
      </c>
      <c r="I3" s="2">
        <v>1</v>
      </c>
      <c r="J3" s="2">
        <v>1</v>
      </c>
      <c r="K3" s="2">
        <v>2</v>
      </c>
      <c r="L3" s="2">
        <v>1</v>
      </c>
      <c r="M3" s="2">
        <v>1</v>
      </c>
      <c r="N3" s="3">
        <f t="shared" ref="N3:N13" si="0">SUM(B3:M3)</f>
        <v>16</v>
      </c>
      <c r="Q3" t="s">
        <v>2</v>
      </c>
      <c r="R3" s="2">
        <v>16</v>
      </c>
      <c r="S3">
        <v>16</v>
      </c>
    </row>
    <row r="4" spans="1:19" ht="43.5" x14ac:dyDescent="0.35">
      <c r="A4" s="3" t="s">
        <v>16</v>
      </c>
      <c r="B4" s="2">
        <v>1</v>
      </c>
      <c r="C4" s="2">
        <v>2</v>
      </c>
      <c r="D4" s="2">
        <v>0</v>
      </c>
      <c r="E4" s="2">
        <v>2</v>
      </c>
      <c r="F4" s="2">
        <v>2</v>
      </c>
      <c r="G4" s="2">
        <v>1</v>
      </c>
      <c r="H4" s="2">
        <v>1</v>
      </c>
      <c r="I4" s="2">
        <v>2</v>
      </c>
      <c r="J4" s="2">
        <v>2</v>
      </c>
      <c r="K4" s="2">
        <v>1</v>
      </c>
      <c r="L4" s="2">
        <v>1</v>
      </c>
      <c r="M4" s="2">
        <v>1</v>
      </c>
      <c r="N4" s="3">
        <f t="shared" si="0"/>
        <v>16</v>
      </c>
      <c r="Q4" t="s">
        <v>3</v>
      </c>
      <c r="R4" s="2">
        <v>16</v>
      </c>
      <c r="S4">
        <v>18</v>
      </c>
    </row>
    <row r="5" spans="1:19" ht="58" x14ac:dyDescent="0.35">
      <c r="A5" s="3" t="s">
        <v>17</v>
      </c>
      <c r="B5" s="2">
        <v>1</v>
      </c>
      <c r="C5" s="2">
        <v>1</v>
      </c>
      <c r="D5" s="2">
        <v>2</v>
      </c>
      <c r="E5" s="2">
        <v>0</v>
      </c>
      <c r="F5" s="2">
        <v>2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0</v>
      </c>
      <c r="N5" s="3">
        <f t="shared" si="0"/>
        <v>8</v>
      </c>
      <c r="Q5" t="s">
        <v>4</v>
      </c>
      <c r="R5" s="2">
        <v>8</v>
      </c>
      <c r="S5">
        <v>16</v>
      </c>
    </row>
    <row r="6" spans="1:19" ht="29" x14ac:dyDescent="0.35">
      <c r="A6" s="3" t="s">
        <v>18</v>
      </c>
      <c r="B6" s="2">
        <v>1</v>
      </c>
      <c r="C6" s="2">
        <v>1</v>
      </c>
      <c r="D6" s="2">
        <v>1</v>
      </c>
      <c r="E6" s="2">
        <v>2</v>
      </c>
      <c r="F6" s="2">
        <v>0</v>
      </c>
      <c r="G6" s="2">
        <v>0</v>
      </c>
      <c r="H6" s="2">
        <v>1</v>
      </c>
      <c r="I6" s="2">
        <v>1</v>
      </c>
      <c r="J6" s="2">
        <v>1</v>
      </c>
      <c r="K6" s="2">
        <v>2</v>
      </c>
      <c r="L6" s="2">
        <v>1</v>
      </c>
      <c r="M6" s="2">
        <v>1</v>
      </c>
      <c r="N6" s="3">
        <f t="shared" si="0"/>
        <v>12</v>
      </c>
      <c r="Q6" t="s">
        <v>5</v>
      </c>
      <c r="R6" s="2">
        <v>12</v>
      </c>
      <c r="S6">
        <v>19</v>
      </c>
    </row>
    <row r="7" spans="1:19" ht="58" x14ac:dyDescent="0.35">
      <c r="A7" s="3" t="s">
        <v>19</v>
      </c>
      <c r="B7" s="2">
        <v>1</v>
      </c>
      <c r="C7" s="2">
        <v>1</v>
      </c>
      <c r="D7" s="2">
        <v>1</v>
      </c>
      <c r="E7" s="2">
        <v>1</v>
      </c>
      <c r="F7" s="2">
        <v>2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3">
        <f t="shared" si="0"/>
        <v>11</v>
      </c>
      <c r="Q7" t="s">
        <v>6</v>
      </c>
      <c r="R7" s="2">
        <v>11</v>
      </c>
      <c r="S7">
        <v>9</v>
      </c>
    </row>
    <row r="8" spans="1:19" ht="43.5" x14ac:dyDescent="0.35">
      <c r="A8" s="3" t="s">
        <v>20</v>
      </c>
      <c r="B8" s="2">
        <v>1</v>
      </c>
      <c r="C8" s="2">
        <v>1</v>
      </c>
      <c r="D8" s="2">
        <v>2</v>
      </c>
      <c r="E8" s="2">
        <v>1</v>
      </c>
      <c r="F8" s="2">
        <v>1</v>
      </c>
      <c r="G8" s="2">
        <v>1</v>
      </c>
      <c r="H8" s="2">
        <v>0</v>
      </c>
      <c r="I8" s="2">
        <v>0</v>
      </c>
      <c r="J8" s="2">
        <v>1</v>
      </c>
      <c r="K8" s="2">
        <v>2</v>
      </c>
      <c r="L8" s="2">
        <v>0</v>
      </c>
      <c r="M8" s="2">
        <v>1</v>
      </c>
      <c r="N8" s="3">
        <f t="shared" si="0"/>
        <v>11</v>
      </c>
      <c r="Q8" t="s">
        <v>7</v>
      </c>
      <c r="R8" s="2">
        <v>11</v>
      </c>
      <c r="S8">
        <v>11</v>
      </c>
    </row>
    <row r="9" spans="1:19" ht="43.5" x14ac:dyDescent="0.35">
      <c r="A9" s="3" t="s">
        <v>21</v>
      </c>
      <c r="B9" s="2">
        <v>2</v>
      </c>
      <c r="C9" s="2">
        <v>2</v>
      </c>
      <c r="D9" s="2">
        <v>3</v>
      </c>
      <c r="E9" s="2">
        <v>1</v>
      </c>
      <c r="F9" s="2">
        <v>2</v>
      </c>
      <c r="G9" s="2">
        <v>1</v>
      </c>
      <c r="H9" s="2">
        <v>1</v>
      </c>
      <c r="I9" s="2">
        <v>0</v>
      </c>
      <c r="J9" s="2">
        <v>2</v>
      </c>
      <c r="K9" s="2">
        <v>1</v>
      </c>
      <c r="L9" s="2">
        <v>1</v>
      </c>
      <c r="M9" s="2">
        <v>2</v>
      </c>
      <c r="N9" s="3">
        <f t="shared" si="0"/>
        <v>18</v>
      </c>
      <c r="Q9" t="s">
        <v>8</v>
      </c>
      <c r="R9" s="2">
        <v>18</v>
      </c>
      <c r="S9">
        <v>11</v>
      </c>
    </row>
    <row r="10" spans="1:19" ht="29" x14ac:dyDescent="0.35">
      <c r="A10" s="3" t="s">
        <v>22</v>
      </c>
      <c r="B10" s="2">
        <v>1</v>
      </c>
      <c r="C10" s="2">
        <v>1</v>
      </c>
      <c r="D10" s="2">
        <v>1</v>
      </c>
      <c r="E10" s="2">
        <v>2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3">
        <f t="shared" si="0"/>
        <v>8</v>
      </c>
      <c r="Q10" t="s">
        <v>9</v>
      </c>
      <c r="R10" s="2">
        <v>8</v>
      </c>
      <c r="S10">
        <v>14</v>
      </c>
    </row>
    <row r="11" spans="1:19" ht="43.5" x14ac:dyDescent="0.35">
      <c r="A11" s="3" t="s">
        <v>23</v>
      </c>
      <c r="B11" s="2">
        <v>1</v>
      </c>
      <c r="C11" s="2">
        <v>2</v>
      </c>
      <c r="D11" s="2">
        <v>1</v>
      </c>
      <c r="E11" s="2">
        <v>1</v>
      </c>
      <c r="F11" s="2">
        <v>1</v>
      </c>
      <c r="G11" s="2">
        <v>0</v>
      </c>
      <c r="H11" s="2">
        <v>1</v>
      </c>
      <c r="I11" s="2">
        <v>1</v>
      </c>
      <c r="J11" s="2">
        <v>1</v>
      </c>
      <c r="K11" s="2">
        <v>0</v>
      </c>
      <c r="L11" s="2">
        <v>0</v>
      </c>
      <c r="M11" s="2">
        <v>1</v>
      </c>
      <c r="N11" s="3">
        <f t="shared" si="0"/>
        <v>10</v>
      </c>
      <c r="Q11" t="s">
        <v>10</v>
      </c>
      <c r="R11" s="2">
        <v>10</v>
      </c>
      <c r="S11">
        <v>15</v>
      </c>
    </row>
    <row r="12" spans="1:19" ht="43.5" x14ac:dyDescent="0.35">
      <c r="A12" s="3" t="s">
        <v>24</v>
      </c>
      <c r="B12" s="2">
        <v>1</v>
      </c>
      <c r="C12" s="2">
        <v>2</v>
      </c>
      <c r="D12" s="2">
        <v>1</v>
      </c>
      <c r="E12" s="2">
        <v>0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2</v>
      </c>
      <c r="N12" s="3">
        <f t="shared" si="0"/>
        <v>12</v>
      </c>
      <c r="Q12" t="s">
        <v>11</v>
      </c>
      <c r="R12" s="2">
        <v>12</v>
      </c>
      <c r="S12">
        <v>7</v>
      </c>
    </row>
    <row r="13" spans="1:19" ht="43.5" x14ac:dyDescent="0.35">
      <c r="A13" s="3" t="s">
        <v>25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2</v>
      </c>
      <c r="H13" s="2">
        <v>2</v>
      </c>
      <c r="I13" s="2">
        <v>1</v>
      </c>
      <c r="J13" s="2">
        <v>1</v>
      </c>
      <c r="K13" s="2">
        <v>2</v>
      </c>
      <c r="L13" s="2">
        <v>1</v>
      </c>
      <c r="M13" s="2">
        <v>0</v>
      </c>
      <c r="N13" s="3">
        <f t="shared" si="0"/>
        <v>14</v>
      </c>
      <c r="Q13" t="s">
        <v>12</v>
      </c>
      <c r="R13" s="2">
        <v>14</v>
      </c>
      <c r="S13">
        <v>13</v>
      </c>
    </row>
    <row r="14" spans="1:19" ht="42" customHeight="1" x14ac:dyDescent="0.35">
      <c r="A14" s="1" t="s">
        <v>26</v>
      </c>
      <c r="B14" s="4">
        <f>SUM(B2:B13)</f>
        <v>12</v>
      </c>
      <c r="C14" s="4">
        <f t="shared" ref="C14:M14" si="1">SUM(C2:C13)</f>
        <v>16</v>
      </c>
      <c r="D14" s="4">
        <f t="shared" si="1"/>
        <v>18</v>
      </c>
      <c r="E14" s="4">
        <f t="shared" si="1"/>
        <v>16</v>
      </c>
      <c r="F14" s="4">
        <f t="shared" si="1"/>
        <v>19</v>
      </c>
      <c r="G14" s="4">
        <f t="shared" si="1"/>
        <v>9</v>
      </c>
      <c r="H14" s="4">
        <f t="shared" si="1"/>
        <v>11</v>
      </c>
      <c r="I14" s="4">
        <f t="shared" si="1"/>
        <v>11</v>
      </c>
      <c r="J14" s="4">
        <f t="shared" si="1"/>
        <v>14</v>
      </c>
      <c r="K14" s="4">
        <f t="shared" si="1"/>
        <v>15</v>
      </c>
      <c r="L14" s="4">
        <f t="shared" si="1"/>
        <v>7</v>
      </c>
      <c r="M14" s="4">
        <f t="shared" si="1"/>
        <v>13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A8BB-C37D-4876-88BA-55D7F1C7B339}">
  <dimension ref="A1:G6"/>
  <sheetViews>
    <sheetView workbookViewId="0">
      <selection activeCell="G4" sqref="G4"/>
    </sheetView>
  </sheetViews>
  <sheetFormatPr baseColWidth="10" defaultRowHeight="14.5" x14ac:dyDescent="0.35"/>
  <cols>
    <col min="1" max="1" width="20.90625" customWidth="1"/>
    <col min="2" max="2" width="32.54296875" customWidth="1"/>
    <col min="3" max="3" width="30.7265625" customWidth="1"/>
    <col min="4" max="4" width="31.453125" customWidth="1"/>
    <col min="5" max="5" width="32.90625" customWidth="1"/>
    <col min="6" max="6" width="16.81640625" customWidth="1"/>
    <col min="7" max="7" width="27.90625" customWidth="1"/>
  </cols>
  <sheetData>
    <row r="1" spans="1:7" x14ac:dyDescent="0.3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/>
    </row>
    <row r="2" spans="1:7" ht="101.5" x14ac:dyDescent="0.35">
      <c r="A2" s="3" t="s">
        <v>38</v>
      </c>
      <c r="B2" s="2" t="s">
        <v>36</v>
      </c>
      <c r="C2" s="2" t="s">
        <v>39</v>
      </c>
      <c r="D2" s="8" t="s">
        <v>40</v>
      </c>
      <c r="E2" s="2" t="s">
        <v>41</v>
      </c>
      <c r="F2" s="2" t="s">
        <v>42</v>
      </c>
      <c r="G2" s="2"/>
    </row>
    <row r="3" spans="1:7" ht="87" x14ac:dyDescent="0.35">
      <c r="A3" s="3" t="s">
        <v>43</v>
      </c>
      <c r="B3" s="2" t="s">
        <v>37</v>
      </c>
      <c r="C3" s="2" t="s">
        <v>44</v>
      </c>
      <c r="D3" s="8" t="s">
        <v>45</v>
      </c>
      <c r="E3" s="2" t="s">
        <v>46</v>
      </c>
      <c r="F3" s="2" t="s">
        <v>47</v>
      </c>
      <c r="G3" s="2"/>
    </row>
    <row r="4" spans="1:7" ht="174" x14ac:dyDescent="0.35">
      <c r="A4" s="3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/>
    </row>
    <row r="5" spans="1:7" ht="232" x14ac:dyDescent="0.35">
      <c r="A5" s="3" t="s">
        <v>54</v>
      </c>
      <c r="B5" s="3" t="s">
        <v>55</v>
      </c>
      <c r="C5" s="2" t="s">
        <v>56</v>
      </c>
      <c r="D5" s="8" t="s">
        <v>57</v>
      </c>
      <c r="E5" s="2" t="s">
        <v>58</v>
      </c>
      <c r="F5" s="2" t="s">
        <v>59</v>
      </c>
      <c r="G5" s="2"/>
    </row>
    <row r="6" spans="1:7" x14ac:dyDescent="0.35">
      <c r="A6" s="3"/>
      <c r="B6" s="2"/>
      <c r="C6" s="2"/>
      <c r="D6" s="2"/>
      <c r="E6" s="2"/>
      <c r="F6" s="2"/>
      <c r="G6" s="2"/>
    </row>
  </sheetData>
  <hyperlinks>
    <hyperlink ref="D2" r:id="rId1" display="mailto:proyectos@institucion.edu" xr:uid="{88E41ACE-14C8-4D6B-A903-9E4F2E788F43}"/>
    <hyperlink ref="D3" r:id="rId2" display="mailto:infraestructura@institucion.edu" xr:uid="{72607C6E-B77C-4903-BA81-510EA4408CBD}"/>
    <hyperlink ref="D5" r:id="rId3" display="mailto:seguimiento@institucion.edu" xr:uid="{E1600012-CF82-415C-AF7F-36344C1CABB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1C1A-1E8E-4C95-AFF6-A95F7F8E7D7B}">
  <dimension ref="A1:AY30"/>
  <sheetViews>
    <sheetView tabSelected="1" topLeftCell="N2" zoomScale="85" zoomScaleNormal="85" workbookViewId="0">
      <selection activeCell="AF18" sqref="AF18"/>
    </sheetView>
  </sheetViews>
  <sheetFormatPr baseColWidth="10" defaultRowHeight="14.5" x14ac:dyDescent="0.35"/>
  <cols>
    <col min="2" max="2" width="32" bestFit="1" customWidth="1"/>
    <col min="3" max="3" width="13.08984375" customWidth="1"/>
    <col min="4" max="4" width="18.26953125" bestFit="1" customWidth="1"/>
    <col min="5" max="5" width="15.453125" customWidth="1"/>
    <col min="7" max="7" width="27.81640625" customWidth="1"/>
    <col min="8" max="8" width="12.453125" bestFit="1" customWidth="1"/>
    <col min="9" max="9" width="18.26953125" bestFit="1" customWidth="1"/>
    <col min="10" max="10" width="12.81640625" bestFit="1" customWidth="1"/>
    <col min="12" max="12" width="33.26953125" customWidth="1"/>
    <col min="13" max="13" width="11.453125" customWidth="1"/>
    <col min="14" max="14" width="18.26953125" bestFit="1" customWidth="1"/>
    <col min="15" max="15" width="12.81640625" bestFit="1" customWidth="1"/>
    <col min="17" max="17" width="22.36328125" customWidth="1"/>
    <col min="18" max="18" width="12.453125" bestFit="1" customWidth="1"/>
    <col min="19" max="19" width="18.26953125" bestFit="1" customWidth="1"/>
    <col min="20" max="20" width="12.81640625" bestFit="1" customWidth="1"/>
    <col min="22" max="22" width="23.6328125" customWidth="1"/>
    <col min="23" max="23" width="12.453125" bestFit="1" customWidth="1"/>
    <col min="24" max="24" width="18.26953125" bestFit="1" customWidth="1"/>
    <col min="25" max="25" width="12.81640625" bestFit="1" customWidth="1"/>
    <col min="27" max="27" width="22.7265625" customWidth="1"/>
    <col min="28" max="28" width="12.453125" bestFit="1" customWidth="1"/>
    <col min="29" max="29" width="18.26953125" bestFit="1" customWidth="1"/>
    <col min="30" max="30" width="12.81640625" bestFit="1" customWidth="1"/>
  </cols>
  <sheetData>
    <row r="1" spans="1:51" ht="15" thickBot="1" x14ac:dyDescent="0.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16" customHeight="1" x14ac:dyDescent="0.35">
      <c r="A2" s="9"/>
      <c r="B2" s="9"/>
      <c r="C2" s="9"/>
      <c r="D2" s="9"/>
      <c r="E2" s="9"/>
      <c r="F2" s="9"/>
      <c r="G2" s="9"/>
      <c r="H2" s="9"/>
      <c r="I2" s="9"/>
      <c r="K2" s="51">
        <v>1</v>
      </c>
      <c r="L2" s="52" t="s">
        <v>233</v>
      </c>
      <c r="M2" s="53"/>
      <c r="N2" s="53"/>
      <c r="O2" s="53"/>
      <c r="P2" s="53"/>
      <c r="Q2" s="53"/>
      <c r="R2" s="53"/>
      <c r="S2" s="54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ht="15" thickBot="1" x14ac:dyDescent="0.4">
      <c r="A3" s="9"/>
      <c r="B3" s="9"/>
      <c r="C3" s="9"/>
      <c r="D3" s="9"/>
      <c r="E3" s="9"/>
      <c r="F3" s="9"/>
      <c r="G3" s="9"/>
      <c r="H3" s="9"/>
      <c r="I3" s="9"/>
      <c r="K3" s="51"/>
      <c r="L3" s="55"/>
      <c r="M3" s="56"/>
      <c r="N3" s="56"/>
      <c r="O3" s="56"/>
      <c r="P3" s="56"/>
      <c r="Q3" s="56"/>
      <c r="R3" s="56"/>
      <c r="S3" s="57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ht="15" thickBot="1" x14ac:dyDescent="0.4">
      <c r="A4" s="9"/>
      <c r="B4" s="9"/>
      <c r="C4" s="10"/>
      <c r="D4" s="10"/>
      <c r="E4" s="10"/>
      <c r="F4" s="10"/>
      <c r="G4" s="10"/>
      <c r="H4" s="10"/>
      <c r="I4" s="10"/>
      <c r="J4" s="10"/>
      <c r="T4" s="10"/>
      <c r="U4" s="10"/>
      <c r="V4" s="11"/>
      <c r="W4" s="10"/>
      <c r="X4" s="10"/>
      <c r="Y4" s="10"/>
      <c r="Z4" s="10"/>
      <c r="AA4" s="10"/>
      <c r="AB4" s="9"/>
      <c r="AC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ht="15" thickBot="1" x14ac:dyDescent="0.4">
      <c r="A5" s="9"/>
      <c r="B5" s="11"/>
      <c r="C5" s="10"/>
      <c r="D5" s="10"/>
      <c r="E5" s="10"/>
      <c r="F5" s="9"/>
      <c r="G5" s="11"/>
      <c r="H5" s="10"/>
      <c r="I5" s="10"/>
      <c r="J5" s="10"/>
      <c r="K5" s="9"/>
      <c r="L5" s="11"/>
      <c r="M5" s="10"/>
      <c r="N5" s="10"/>
      <c r="O5" s="10"/>
      <c r="P5" s="9"/>
      <c r="Q5" s="10"/>
      <c r="S5" s="10"/>
      <c r="T5" s="10"/>
      <c r="U5" s="9"/>
      <c r="V5" s="11"/>
      <c r="W5" s="10"/>
      <c r="X5" s="10"/>
      <c r="Y5" s="10"/>
      <c r="Z5" s="9"/>
      <c r="AA5" s="11"/>
      <c r="AB5" s="10"/>
      <c r="AC5" s="10"/>
      <c r="AD5" s="10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35">
      <c r="A6" s="12"/>
      <c r="B6" s="58" t="s">
        <v>60</v>
      </c>
      <c r="C6" s="59"/>
      <c r="D6" s="59"/>
      <c r="E6" s="60"/>
      <c r="F6" s="12"/>
      <c r="G6" s="58" t="s">
        <v>61</v>
      </c>
      <c r="H6" s="59"/>
      <c r="I6" s="59"/>
      <c r="J6" s="60"/>
      <c r="K6" s="12"/>
      <c r="L6" s="58" t="s">
        <v>62</v>
      </c>
      <c r="M6" s="59"/>
      <c r="N6" s="59"/>
      <c r="O6" s="60"/>
      <c r="P6" s="12"/>
      <c r="Q6" s="58" t="s">
        <v>63</v>
      </c>
      <c r="R6" s="59"/>
      <c r="S6" s="59"/>
      <c r="T6" s="60"/>
      <c r="U6" s="12"/>
      <c r="V6" s="58" t="s">
        <v>64</v>
      </c>
      <c r="W6" s="59"/>
      <c r="X6" s="59"/>
      <c r="Y6" s="60"/>
      <c r="Z6" s="12"/>
      <c r="AA6" s="58" t="s">
        <v>65</v>
      </c>
      <c r="AB6" s="59"/>
      <c r="AC6" s="59"/>
      <c r="AD6" s="60"/>
      <c r="AE6" s="9"/>
      <c r="AF6" s="9"/>
      <c r="AG6" s="64"/>
      <c r="AH6" s="64"/>
      <c r="AI6" s="64"/>
      <c r="AJ6" s="64"/>
      <c r="AK6" s="9"/>
      <c r="AL6" s="64"/>
      <c r="AM6" s="64"/>
      <c r="AN6" s="64"/>
      <c r="AO6" s="64"/>
      <c r="AP6" s="9"/>
      <c r="AQ6" s="64"/>
      <c r="AR6" s="64"/>
      <c r="AS6" s="64"/>
      <c r="AT6" s="64"/>
      <c r="AU6" s="9"/>
      <c r="AV6" s="64"/>
      <c r="AW6" s="64"/>
      <c r="AX6" s="64"/>
      <c r="AY6" s="64"/>
    </row>
    <row r="7" spans="1:51" ht="15" thickBot="1" x14ac:dyDescent="0.4">
      <c r="A7" s="12"/>
      <c r="B7" s="61"/>
      <c r="C7" s="62"/>
      <c r="D7" s="62"/>
      <c r="E7" s="63"/>
      <c r="F7" s="12"/>
      <c r="G7" s="61"/>
      <c r="H7" s="62"/>
      <c r="I7" s="62"/>
      <c r="J7" s="63"/>
      <c r="K7" s="12"/>
      <c r="L7" s="61"/>
      <c r="M7" s="62"/>
      <c r="N7" s="62"/>
      <c r="O7" s="63"/>
      <c r="P7" s="12"/>
      <c r="Q7" s="61"/>
      <c r="R7" s="62"/>
      <c r="S7" s="62"/>
      <c r="T7" s="63"/>
      <c r="U7" s="12"/>
      <c r="V7" s="61"/>
      <c r="W7" s="62"/>
      <c r="X7" s="62"/>
      <c r="Y7" s="63"/>
      <c r="Z7" s="12"/>
      <c r="AA7" s="61"/>
      <c r="AB7" s="62"/>
      <c r="AC7" s="62"/>
      <c r="AD7" s="63"/>
      <c r="AE7" s="9"/>
      <c r="AF7" s="9"/>
      <c r="AG7" s="64"/>
      <c r="AH7" s="64"/>
      <c r="AI7" s="64"/>
      <c r="AJ7" s="64"/>
      <c r="AK7" s="9"/>
      <c r="AL7" s="64"/>
      <c r="AM7" s="64"/>
      <c r="AN7" s="64"/>
      <c r="AO7" s="64"/>
      <c r="AP7" s="9"/>
      <c r="AQ7" s="64"/>
      <c r="AR7" s="64"/>
      <c r="AS7" s="64"/>
      <c r="AT7" s="64"/>
      <c r="AU7" s="9"/>
      <c r="AV7" s="64"/>
      <c r="AW7" s="64"/>
      <c r="AX7" s="64"/>
      <c r="AY7" s="64"/>
    </row>
    <row r="8" spans="1:51" x14ac:dyDescent="0.35">
      <c r="A8" s="65">
        <v>2</v>
      </c>
      <c r="B8" s="52" t="s">
        <v>66</v>
      </c>
      <c r="C8" s="53"/>
      <c r="D8" s="53"/>
      <c r="E8" s="54"/>
      <c r="F8" s="69">
        <v>12</v>
      </c>
      <c r="G8" s="52" t="s">
        <v>186</v>
      </c>
      <c r="H8" s="53"/>
      <c r="I8" s="53"/>
      <c r="J8" s="54"/>
      <c r="K8" s="69">
        <v>21</v>
      </c>
      <c r="L8" s="52" t="s">
        <v>187</v>
      </c>
      <c r="M8" s="53"/>
      <c r="N8" s="53"/>
      <c r="O8" s="54"/>
      <c r="P8" s="69">
        <v>34</v>
      </c>
      <c r="Q8" s="52" t="s">
        <v>205</v>
      </c>
      <c r="R8" s="53"/>
      <c r="S8" s="53"/>
      <c r="T8" s="54"/>
      <c r="U8" s="69">
        <v>41</v>
      </c>
      <c r="V8" s="52" t="s">
        <v>212</v>
      </c>
      <c r="W8" s="53"/>
      <c r="X8" s="53"/>
      <c r="Y8" s="54"/>
      <c r="Z8" s="69">
        <v>49</v>
      </c>
      <c r="AA8" s="52" t="s">
        <v>222</v>
      </c>
      <c r="AB8" s="53"/>
      <c r="AC8" s="53"/>
      <c r="AD8" s="54"/>
      <c r="AE8" s="13"/>
      <c r="AF8" s="70"/>
      <c r="AG8" s="67"/>
      <c r="AH8" s="67"/>
      <c r="AI8" s="67"/>
      <c r="AJ8" s="67"/>
      <c r="AK8" s="70"/>
      <c r="AL8" s="67"/>
      <c r="AM8" s="67"/>
      <c r="AN8" s="67"/>
      <c r="AO8" s="67"/>
      <c r="AP8" s="70"/>
      <c r="AQ8" s="67"/>
      <c r="AR8" s="67"/>
      <c r="AS8" s="67"/>
      <c r="AT8" s="67"/>
      <c r="AU8" s="70"/>
      <c r="AV8" s="71"/>
      <c r="AW8" s="71"/>
      <c r="AX8" s="71"/>
      <c r="AY8" s="71"/>
    </row>
    <row r="9" spans="1:51" x14ac:dyDescent="0.35">
      <c r="A9" s="65"/>
      <c r="B9" s="66"/>
      <c r="C9" s="67"/>
      <c r="D9" s="67"/>
      <c r="E9" s="68"/>
      <c r="F9" s="69"/>
      <c r="G9" s="66"/>
      <c r="H9" s="67"/>
      <c r="I9" s="67"/>
      <c r="J9" s="68"/>
      <c r="K9" s="69"/>
      <c r="L9" s="66"/>
      <c r="M9" s="67"/>
      <c r="N9" s="67"/>
      <c r="O9" s="68"/>
      <c r="P9" s="69"/>
      <c r="Q9" s="66"/>
      <c r="R9" s="67"/>
      <c r="S9" s="67"/>
      <c r="T9" s="68"/>
      <c r="U9" s="69"/>
      <c r="V9" s="66"/>
      <c r="W9" s="67"/>
      <c r="X9" s="67"/>
      <c r="Y9" s="68"/>
      <c r="Z9" s="69"/>
      <c r="AA9" s="66"/>
      <c r="AB9" s="67"/>
      <c r="AC9" s="67"/>
      <c r="AD9" s="68"/>
      <c r="AE9" s="13"/>
      <c r="AF9" s="70"/>
      <c r="AG9" s="67"/>
      <c r="AH9" s="67"/>
      <c r="AI9" s="67"/>
      <c r="AJ9" s="67"/>
      <c r="AK9" s="70"/>
      <c r="AL9" s="67"/>
      <c r="AM9" s="67"/>
      <c r="AN9" s="67"/>
      <c r="AO9" s="67"/>
      <c r="AP9" s="70"/>
      <c r="AQ9" s="67"/>
      <c r="AR9" s="67"/>
      <c r="AS9" s="67"/>
      <c r="AT9" s="67"/>
      <c r="AU9" s="70"/>
      <c r="AV9" s="71"/>
      <c r="AW9" s="71"/>
      <c r="AX9" s="71"/>
      <c r="AY9" s="71"/>
    </row>
    <row r="10" spans="1:51" ht="15" thickBot="1" x14ac:dyDescent="0.4">
      <c r="A10" s="65"/>
      <c r="B10" s="55"/>
      <c r="C10" s="56"/>
      <c r="D10" s="56"/>
      <c r="E10" s="57"/>
      <c r="F10" s="69"/>
      <c r="G10" s="55"/>
      <c r="H10" s="56"/>
      <c r="I10" s="56"/>
      <c r="J10" s="57"/>
      <c r="K10" s="69"/>
      <c r="L10" s="55"/>
      <c r="M10" s="56"/>
      <c r="N10" s="56"/>
      <c r="O10" s="57"/>
      <c r="P10" s="69"/>
      <c r="Q10" s="55"/>
      <c r="R10" s="56"/>
      <c r="S10" s="56"/>
      <c r="T10" s="57"/>
      <c r="U10" s="69"/>
      <c r="V10" s="55"/>
      <c r="W10" s="56"/>
      <c r="X10" s="56"/>
      <c r="Y10" s="57"/>
      <c r="Z10" s="69"/>
      <c r="AA10" s="55"/>
      <c r="AB10" s="56"/>
      <c r="AC10" s="56"/>
      <c r="AD10" s="57"/>
      <c r="AE10" s="13"/>
      <c r="AF10" s="70"/>
      <c r="AG10" s="67"/>
      <c r="AH10" s="67"/>
      <c r="AI10" s="67"/>
      <c r="AJ10" s="67"/>
      <c r="AK10" s="70"/>
      <c r="AL10" s="67"/>
      <c r="AM10" s="67"/>
      <c r="AN10" s="67"/>
      <c r="AO10" s="67"/>
      <c r="AP10" s="70"/>
      <c r="AQ10" s="67"/>
      <c r="AR10" s="67"/>
      <c r="AS10" s="67"/>
      <c r="AT10" s="67"/>
      <c r="AU10" s="70"/>
      <c r="AV10" s="71"/>
      <c r="AW10" s="71"/>
      <c r="AX10" s="71"/>
      <c r="AY10" s="71"/>
    </row>
    <row r="11" spans="1:51" x14ac:dyDescent="0.35">
      <c r="A11" s="13"/>
      <c r="B11" s="14"/>
      <c r="C11" s="19" t="s">
        <v>67</v>
      </c>
      <c r="D11" s="20" t="s">
        <v>68</v>
      </c>
      <c r="E11" s="21" t="s">
        <v>69</v>
      </c>
      <c r="F11" s="13"/>
      <c r="G11" s="14"/>
      <c r="H11" s="19" t="s">
        <v>67</v>
      </c>
      <c r="I11" s="20" t="s">
        <v>68</v>
      </c>
      <c r="J11" s="21" t="s">
        <v>69</v>
      </c>
      <c r="K11" s="13"/>
      <c r="L11" s="14"/>
      <c r="M11" s="19" t="s">
        <v>67</v>
      </c>
      <c r="N11" s="20" t="s">
        <v>68</v>
      </c>
      <c r="O11" s="21" t="s">
        <v>69</v>
      </c>
      <c r="P11" s="13"/>
      <c r="Q11" s="14"/>
      <c r="R11" s="19" t="s">
        <v>67</v>
      </c>
      <c r="S11" s="20" t="s">
        <v>68</v>
      </c>
      <c r="T11" s="21" t="s">
        <v>69</v>
      </c>
      <c r="U11" s="13"/>
      <c r="V11" s="14"/>
      <c r="W11" s="19" t="s">
        <v>67</v>
      </c>
      <c r="X11" s="20" t="s">
        <v>68</v>
      </c>
      <c r="Y11" s="21" t="s">
        <v>69</v>
      </c>
      <c r="Z11" s="9"/>
      <c r="AA11" s="12"/>
      <c r="AB11" s="19" t="s">
        <v>67</v>
      </c>
      <c r="AC11" s="20" t="s">
        <v>68</v>
      </c>
      <c r="AD11" s="21" t="s">
        <v>69</v>
      </c>
      <c r="AE11" s="13"/>
      <c r="AF11" s="13"/>
      <c r="AG11" s="13"/>
      <c r="AH11" s="36"/>
      <c r="AI11" s="37"/>
      <c r="AJ11" s="38"/>
      <c r="AK11" s="13"/>
      <c r="AL11" s="13"/>
      <c r="AM11" s="36"/>
      <c r="AN11" s="37"/>
      <c r="AO11" s="38"/>
      <c r="AP11" s="13"/>
      <c r="AQ11" s="13"/>
      <c r="AR11" s="36"/>
      <c r="AS11" s="37"/>
      <c r="AT11" s="38"/>
      <c r="AU11" s="13"/>
      <c r="AV11" s="13"/>
      <c r="AW11" s="36"/>
      <c r="AX11" s="37"/>
      <c r="AY11" s="38"/>
    </row>
    <row r="12" spans="1:51" ht="53.5" customHeight="1" x14ac:dyDescent="0.35">
      <c r="A12" s="15">
        <v>3</v>
      </c>
      <c r="B12" s="22" t="s">
        <v>158</v>
      </c>
      <c r="C12" s="29" t="s">
        <v>75</v>
      </c>
      <c r="D12" s="23"/>
      <c r="E12" s="24" t="s">
        <v>275</v>
      </c>
      <c r="F12" s="15">
        <v>13</v>
      </c>
      <c r="G12" s="23" t="s">
        <v>177</v>
      </c>
      <c r="H12" s="49" t="s">
        <v>167</v>
      </c>
      <c r="I12" s="27" t="s">
        <v>238</v>
      </c>
      <c r="J12" s="28" t="s">
        <v>282</v>
      </c>
      <c r="K12" s="15">
        <v>22</v>
      </c>
      <c r="L12" s="23" t="s">
        <v>188</v>
      </c>
      <c r="M12" s="30" t="s">
        <v>160</v>
      </c>
      <c r="N12" s="27" t="s">
        <v>246</v>
      </c>
      <c r="O12" s="31" t="s">
        <v>287</v>
      </c>
      <c r="P12" s="15">
        <v>35</v>
      </c>
      <c r="Q12" s="23" t="s">
        <v>234</v>
      </c>
      <c r="R12" s="30" t="s">
        <v>167</v>
      </c>
      <c r="S12" s="27" t="s">
        <v>255</v>
      </c>
      <c r="T12" s="31" t="s">
        <v>292</v>
      </c>
      <c r="U12" s="15">
        <v>42</v>
      </c>
      <c r="V12" s="23" t="s">
        <v>211</v>
      </c>
      <c r="W12" s="30" t="s">
        <v>175</v>
      </c>
      <c r="X12" s="27" t="s">
        <v>261</v>
      </c>
      <c r="Y12" s="31" t="s">
        <v>295</v>
      </c>
      <c r="Z12" s="15">
        <v>50</v>
      </c>
      <c r="AA12" s="23" t="s">
        <v>223</v>
      </c>
      <c r="AB12" s="30" t="s">
        <v>167</v>
      </c>
      <c r="AC12" s="27" t="s">
        <v>268</v>
      </c>
      <c r="AD12" s="46" t="s">
        <v>281</v>
      </c>
      <c r="AE12" s="9"/>
      <c r="AF12" s="15"/>
      <c r="AG12" s="9"/>
      <c r="AH12" s="39"/>
      <c r="AI12" s="40"/>
      <c r="AJ12" s="41"/>
      <c r="AK12" s="15"/>
      <c r="AL12" s="9"/>
      <c r="AM12" s="39"/>
      <c r="AN12" s="40"/>
      <c r="AO12" s="41"/>
      <c r="AP12" s="15"/>
      <c r="AQ12" s="9"/>
      <c r="AR12" s="39"/>
      <c r="AS12" s="40"/>
      <c r="AT12" s="41"/>
      <c r="AU12" s="15"/>
      <c r="AV12" s="9"/>
      <c r="AW12" s="39"/>
      <c r="AX12" s="40"/>
      <c r="AY12" s="41"/>
    </row>
    <row r="13" spans="1:51" ht="48.5" customHeight="1" x14ac:dyDescent="0.35">
      <c r="A13" s="15">
        <v>4</v>
      </c>
      <c r="B13" s="25" t="s">
        <v>159</v>
      </c>
      <c r="C13" s="49" t="s">
        <v>160</v>
      </c>
      <c r="D13" s="47" t="s">
        <v>168</v>
      </c>
      <c r="E13" s="24" t="s">
        <v>276</v>
      </c>
      <c r="F13" s="15">
        <v>14</v>
      </c>
      <c r="G13" s="23" t="s">
        <v>178</v>
      </c>
      <c r="H13" s="29" t="s">
        <v>162</v>
      </c>
      <c r="I13" s="27" t="s">
        <v>239</v>
      </c>
      <c r="J13" s="28" t="s">
        <v>280</v>
      </c>
      <c r="K13" s="15">
        <v>23</v>
      </c>
      <c r="L13" s="23" t="s">
        <v>189</v>
      </c>
      <c r="M13" s="30" t="s">
        <v>167</v>
      </c>
      <c r="N13" s="27" t="s">
        <v>247</v>
      </c>
      <c r="O13" s="31" t="s">
        <v>287</v>
      </c>
      <c r="P13" s="15">
        <v>36</v>
      </c>
      <c r="Q13" s="23" t="s">
        <v>206</v>
      </c>
      <c r="R13" s="30" t="s">
        <v>175</v>
      </c>
      <c r="S13" s="27" t="s">
        <v>256</v>
      </c>
      <c r="T13" s="31" t="s">
        <v>287</v>
      </c>
      <c r="U13" s="15">
        <v>43</v>
      </c>
      <c r="V13" s="23" t="s">
        <v>213</v>
      </c>
      <c r="W13" s="30" t="s">
        <v>160</v>
      </c>
      <c r="X13" s="27" t="s">
        <v>262</v>
      </c>
      <c r="Y13" s="31" t="s">
        <v>296</v>
      </c>
      <c r="Z13" s="15">
        <v>51</v>
      </c>
      <c r="AA13" s="23" t="s">
        <v>224</v>
      </c>
      <c r="AB13" s="30" t="s">
        <v>175</v>
      </c>
      <c r="AC13" s="27" t="s">
        <v>269</v>
      </c>
      <c r="AD13" s="46" t="s">
        <v>279</v>
      </c>
      <c r="AE13" s="9"/>
      <c r="AF13" s="15"/>
      <c r="AG13" s="9"/>
      <c r="AH13" s="39"/>
      <c r="AI13" s="40"/>
      <c r="AJ13" s="41"/>
      <c r="AK13" s="15"/>
      <c r="AL13" s="9"/>
      <c r="AM13" s="39"/>
      <c r="AN13" s="40"/>
      <c r="AO13" s="41"/>
      <c r="AP13" s="15"/>
      <c r="AQ13" s="9"/>
      <c r="AR13" s="39"/>
      <c r="AS13" s="40"/>
      <c r="AT13" s="41"/>
      <c r="AU13" s="15"/>
      <c r="AV13" s="9"/>
      <c r="AW13" s="39"/>
      <c r="AX13" s="40"/>
      <c r="AY13" s="41"/>
    </row>
    <row r="14" spans="1:51" ht="45.5" customHeight="1" x14ac:dyDescent="0.35">
      <c r="A14" s="15">
        <v>5</v>
      </c>
      <c r="B14" s="25" t="s">
        <v>161</v>
      </c>
      <c r="C14" s="49" t="s">
        <v>162</v>
      </c>
      <c r="D14" s="47" t="s">
        <v>232</v>
      </c>
      <c r="E14" s="24" t="s">
        <v>275</v>
      </c>
      <c r="F14" s="15">
        <v>15</v>
      </c>
      <c r="G14" s="23" t="s">
        <v>179</v>
      </c>
      <c r="H14" s="29" t="s">
        <v>165</v>
      </c>
      <c r="I14" s="27" t="s">
        <v>240</v>
      </c>
      <c r="J14" s="28" t="s">
        <v>283</v>
      </c>
      <c r="K14" s="15">
        <v>24</v>
      </c>
      <c r="L14" s="23" t="s">
        <v>190</v>
      </c>
      <c r="M14" s="30" t="s">
        <v>173</v>
      </c>
      <c r="N14" s="27" t="s">
        <v>247</v>
      </c>
      <c r="O14" s="31" t="s">
        <v>284</v>
      </c>
      <c r="P14" s="15">
        <v>37</v>
      </c>
      <c r="Q14" s="23" t="s">
        <v>207</v>
      </c>
      <c r="R14" s="30" t="s">
        <v>160</v>
      </c>
      <c r="S14" s="27" t="s">
        <v>257</v>
      </c>
      <c r="T14" s="31" t="s">
        <v>293</v>
      </c>
      <c r="U14" s="15">
        <v>44</v>
      </c>
      <c r="V14" s="23" t="s">
        <v>214</v>
      </c>
      <c r="W14" s="30" t="s">
        <v>175</v>
      </c>
      <c r="X14" s="27" t="s">
        <v>263</v>
      </c>
      <c r="Y14" s="31" t="s">
        <v>289</v>
      </c>
      <c r="Z14" s="15">
        <v>52</v>
      </c>
      <c r="AA14" s="23" t="s">
        <v>225</v>
      </c>
      <c r="AB14" s="30" t="s">
        <v>162</v>
      </c>
      <c r="AC14" s="27" t="s">
        <v>269</v>
      </c>
      <c r="AD14" s="46" t="s">
        <v>279</v>
      </c>
      <c r="AE14" s="9"/>
      <c r="AF14" s="15"/>
      <c r="AG14" s="9"/>
      <c r="AH14" s="39"/>
      <c r="AI14" s="40"/>
      <c r="AJ14" s="41"/>
      <c r="AK14" s="15"/>
      <c r="AL14" s="9"/>
      <c r="AM14" s="39"/>
      <c r="AN14" s="40"/>
      <c r="AO14" s="41"/>
      <c r="AP14" s="15"/>
      <c r="AQ14" s="9"/>
      <c r="AR14" s="39"/>
      <c r="AS14" s="40"/>
      <c r="AT14" s="41"/>
      <c r="AU14" s="15"/>
      <c r="AV14" s="9"/>
      <c r="AW14" s="39"/>
      <c r="AX14" s="40"/>
      <c r="AY14" s="41"/>
    </row>
    <row r="15" spans="1:51" ht="61" customHeight="1" x14ac:dyDescent="0.35">
      <c r="A15" s="15">
        <v>6</v>
      </c>
      <c r="B15" s="23" t="s">
        <v>163</v>
      </c>
      <c r="C15" s="49" t="s">
        <v>160</v>
      </c>
      <c r="D15" s="47" t="s">
        <v>236</v>
      </c>
      <c r="E15" s="24" t="s">
        <v>277</v>
      </c>
      <c r="F15" s="15">
        <v>16</v>
      </c>
      <c r="G15" s="23" t="s">
        <v>180</v>
      </c>
      <c r="H15" s="29" t="s">
        <v>160</v>
      </c>
      <c r="I15" s="27" t="s">
        <v>241</v>
      </c>
      <c r="J15" s="28" t="s">
        <v>284</v>
      </c>
      <c r="K15" s="15">
        <v>25</v>
      </c>
      <c r="L15" s="32" t="s">
        <v>191</v>
      </c>
      <c r="M15" s="30" t="s">
        <v>192</v>
      </c>
      <c r="N15" s="27" t="s">
        <v>248</v>
      </c>
      <c r="O15" s="31" t="s">
        <v>288</v>
      </c>
      <c r="P15" s="15">
        <v>38</v>
      </c>
      <c r="Q15" s="23" t="s">
        <v>208</v>
      </c>
      <c r="R15" s="30" t="s">
        <v>167</v>
      </c>
      <c r="S15" s="27" t="s">
        <v>258</v>
      </c>
      <c r="T15" s="31" t="s">
        <v>289</v>
      </c>
      <c r="U15" s="15">
        <v>45</v>
      </c>
      <c r="V15" s="45" t="s">
        <v>215</v>
      </c>
      <c r="W15" s="30" t="s">
        <v>175</v>
      </c>
      <c r="X15" s="27" t="s">
        <v>264</v>
      </c>
      <c r="Y15" s="31" t="s">
        <v>297</v>
      </c>
      <c r="Z15" s="15">
        <v>53</v>
      </c>
      <c r="AA15" s="23" t="s">
        <v>226</v>
      </c>
      <c r="AB15" s="30" t="s">
        <v>175</v>
      </c>
      <c r="AC15" s="27" t="s">
        <v>270</v>
      </c>
      <c r="AD15" s="46" t="s">
        <v>300</v>
      </c>
      <c r="AE15" s="9"/>
      <c r="AF15" s="15"/>
      <c r="AG15" s="9"/>
      <c r="AH15" s="39"/>
      <c r="AI15" s="40"/>
      <c r="AJ15" s="41"/>
      <c r="AK15" s="15"/>
      <c r="AL15" s="9"/>
      <c r="AM15" s="39"/>
      <c r="AN15" s="40"/>
      <c r="AO15" s="41"/>
      <c r="AP15" s="15"/>
      <c r="AQ15" s="9"/>
      <c r="AR15" s="39"/>
      <c r="AS15" s="40"/>
      <c r="AT15" s="41"/>
      <c r="AU15" s="15"/>
      <c r="AV15" s="9"/>
      <c r="AW15" s="39"/>
      <c r="AX15" s="40"/>
      <c r="AY15" s="41"/>
    </row>
    <row r="16" spans="1:51" ht="49.5" customHeight="1" x14ac:dyDescent="0.35">
      <c r="A16" s="15">
        <v>7</v>
      </c>
      <c r="B16" s="23" t="s">
        <v>164</v>
      </c>
      <c r="C16" s="49" t="s">
        <v>165</v>
      </c>
      <c r="D16" s="47" t="s">
        <v>235</v>
      </c>
      <c r="E16" s="24" t="s">
        <v>278</v>
      </c>
      <c r="F16" s="15">
        <v>17</v>
      </c>
      <c r="G16" s="23" t="s">
        <v>181</v>
      </c>
      <c r="H16" s="29" t="s">
        <v>162</v>
      </c>
      <c r="I16" s="27" t="s">
        <v>242</v>
      </c>
      <c r="J16" s="28" t="s">
        <v>285</v>
      </c>
      <c r="K16" s="15">
        <v>26</v>
      </c>
      <c r="L16" s="23" t="s">
        <v>193</v>
      </c>
      <c r="M16" s="30" t="s">
        <v>170</v>
      </c>
      <c r="N16" s="27" t="s">
        <v>248</v>
      </c>
      <c r="O16" s="31" t="s">
        <v>282</v>
      </c>
      <c r="P16" s="15">
        <v>39</v>
      </c>
      <c r="Q16" s="23" t="s">
        <v>209</v>
      </c>
      <c r="R16" s="30" t="s">
        <v>167</v>
      </c>
      <c r="S16" s="27" t="s">
        <v>259</v>
      </c>
      <c r="T16" s="31" t="s">
        <v>275</v>
      </c>
      <c r="U16" s="15">
        <v>46</v>
      </c>
      <c r="V16" s="23" t="s">
        <v>216</v>
      </c>
      <c r="W16" s="30" t="s">
        <v>217</v>
      </c>
      <c r="X16" s="27" t="s">
        <v>265</v>
      </c>
      <c r="Y16" s="31" t="s">
        <v>298</v>
      </c>
      <c r="Z16" s="15">
        <v>54</v>
      </c>
      <c r="AA16" s="23" t="s">
        <v>227</v>
      </c>
      <c r="AB16" s="30" t="s">
        <v>175</v>
      </c>
      <c r="AC16" s="27" t="s">
        <v>271</v>
      </c>
      <c r="AD16" s="46" t="s">
        <v>289</v>
      </c>
      <c r="AE16" s="9"/>
      <c r="AF16" s="15"/>
      <c r="AG16" s="9"/>
      <c r="AH16" s="39"/>
      <c r="AI16" s="40"/>
      <c r="AJ16" s="41"/>
      <c r="AK16" s="15"/>
      <c r="AL16" s="9"/>
      <c r="AM16" s="39"/>
      <c r="AN16" s="40"/>
      <c r="AO16" s="41"/>
      <c r="AP16" s="9"/>
      <c r="AQ16" s="9"/>
      <c r="AR16" s="9"/>
      <c r="AS16" s="9"/>
      <c r="AT16" s="9"/>
      <c r="AU16" s="15"/>
      <c r="AV16" s="9"/>
      <c r="AW16" s="39"/>
      <c r="AX16" s="40"/>
      <c r="AY16" s="41"/>
    </row>
    <row r="17" spans="1:51" ht="62.5" customHeight="1" x14ac:dyDescent="0.35">
      <c r="A17" s="15">
        <v>8</v>
      </c>
      <c r="B17" s="23" t="s">
        <v>166</v>
      </c>
      <c r="C17" s="49" t="s">
        <v>167</v>
      </c>
      <c r="D17" s="47" t="s">
        <v>171</v>
      </c>
      <c r="E17" s="24" t="s">
        <v>279</v>
      </c>
      <c r="F17" s="15">
        <v>18</v>
      </c>
      <c r="G17" s="25" t="s">
        <v>182</v>
      </c>
      <c r="H17" s="29" t="s">
        <v>160</v>
      </c>
      <c r="I17" s="48" t="s">
        <v>243</v>
      </c>
      <c r="J17" s="24" t="s">
        <v>286</v>
      </c>
      <c r="K17" s="15">
        <v>27</v>
      </c>
      <c r="L17" s="23" t="s">
        <v>194</v>
      </c>
      <c r="M17" s="30" t="s">
        <v>165</v>
      </c>
      <c r="N17" s="27" t="s">
        <v>249</v>
      </c>
      <c r="O17" s="31" t="s">
        <v>284</v>
      </c>
      <c r="P17" s="15">
        <v>40</v>
      </c>
      <c r="Q17" s="23" t="s">
        <v>210</v>
      </c>
      <c r="R17" s="30" t="s">
        <v>175</v>
      </c>
      <c r="S17" s="27" t="s">
        <v>260</v>
      </c>
      <c r="T17" s="31" t="s">
        <v>294</v>
      </c>
      <c r="U17" s="15">
        <v>47</v>
      </c>
      <c r="V17" s="23" t="s">
        <v>218</v>
      </c>
      <c r="W17" s="30" t="s">
        <v>175</v>
      </c>
      <c r="X17" s="27" t="s">
        <v>266</v>
      </c>
      <c r="Y17" s="31" t="s">
        <v>298</v>
      </c>
      <c r="Z17" s="15">
        <v>55</v>
      </c>
      <c r="AA17" s="23" t="s">
        <v>228</v>
      </c>
      <c r="AB17" s="30" t="s">
        <v>175</v>
      </c>
      <c r="AC17" s="27" t="s">
        <v>272</v>
      </c>
      <c r="AD17" s="46" t="s">
        <v>279</v>
      </c>
      <c r="AE17" s="9"/>
      <c r="AF17" s="9"/>
      <c r="AG17" s="9"/>
      <c r="AH17" s="9"/>
      <c r="AI17" s="9"/>
      <c r="AJ17" s="9"/>
      <c r="AK17" s="15"/>
      <c r="AL17" s="9"/>
      <c r="AM17" s="39"/>
      <c r="AN17" s="40"/>
      <c r="AO17" s="41"/>
      <c r="AP17" s="9"/>
      <c r="AQ17" s="9"/>
      <c r="AR17" s="9"/>
      <c r="AS17" s="9"/>
      <c r="AT17" s="9"/>
      <c r="AU17" s="15"/>
      <c r="AV17" s="9"/>
      <c r="AW17" s="39"/>
      <c r="AX17" s="40"/>
      <c r="AY17" s="41"/>
    </row>
    <row r="18" spans="1:51" ht="44.5" customHeight="1" x14ac:dyDescent="0.35">
      <c r="A18" s="15">
        <v>9</v>
      </c>
      <c r="B18" s="23" t="s">
        <v>169</v>
      </c>
      <c r="C18" s="49" t="s">
        <v>170</v>
      </c>
      <c r="D18" s="47" t="s">
        <v>76</v>
      </c>
      <c r="E18" s="24" t="s">
        <v>280</v>
      </c>
      <c r="F18" s="15">
        <v>19</v>
      </c>
      <c r="G18" s="25" t="s">
        <v>183</v>
      </c>
      <c r="H18" s="49" t="s">
        <v>167</v>
      </c>
      <c r="I18" s="47" t="s">
        <v>244</v>
      </c>
      <c r="J18" s="43" t="s">
        <v>275</v>
      </c>
      <c r="K18" s="15">
        <v>28</v>
      </c>
      <c r="L18" s="23" t="s">
        <v>195</v>
      </c>
      <c r="M18" s="29" t="s">
        <v>162</v>
      </c>
      <c r="N18" s="47" t="s">
        <v>250</v>
      </c>
      <c r="O18" s="72" t="s">
        <v>282</v>
      </c>
      <c r="P18" s="9"/>
      <c r="Q18" s="9"/>
      <c r="R18" s="9"/>
      <c r="S18" s="9"/>
      <c r="T18" s="9"/>
      <c r="U18" s="15">
        <v>48</v>
      </c>
      <c r="V18" s="25" t="s">
        <v>219</v>
      </c>
      <c r="W18" s="49" t="s">
        <v>175</v>
      </c>
      <c r="X18" s="47" t="s">
        <v>267</v>
      </c>
      <c r="Y18" s="72" t="s">
        <v>299</v>
      </c>
      <c r="Z18" s="15">
        <v>56</v>
      </c>
      <c r="AA18" s="23" t="s">
        <v>229</v>
      </c>
      <c r="AB18" s="30" t="s">
        <v>217</v>
      </c>
      <c r="AC18" s="27" t="s">
        <v>273</v>
      </c>
      <c r="AD18" s="46" t="s">
        <v>300</v>
      </c>
      <c r="AE18" s="9"/>
      <c r="AF18" s="9"/>
      <c r="AG18" s="9"/>
      <c r="AH18" s="9"/>
      <c r="AI18" s="9"/>
      <c r="AJ18" s="42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5"/>
      <c r="AV18" s="9"/>
      <c r="AW18" s="39"/>
      <c r="AX18" s="40"/>
      <c r="AY18" s="41"/>
    </row>
    <row r="19" spans="1:51" ht="50" customHeight="1" x14ac:dyDescent="0.35">
      <c r="A19" s="15">
        <v>10</v>
      </c>
      <c r="B19" s="23" t="s">
        <v>172</v>
      </c>
      <c r="C19" s="49" t="s">
        <v>173</v>
      </c>
      <c r="D19" s="47" t="s">
        <v>237</v>
      </c>
      <c r="E19" s="24" t="s">
        <v>281</v>
      </c>
      <c r="F19" s="15">
        <v>20</v>
      </c>
      <c r="G19" s="25" t="s">
        <v>184</v>
      </c>
      <c r="H19" s="49" t="s">
        <v>175</v>
      </c>
      <c r="I19" s="47" t="s">
        <v>245</v>
      </c>
      <c r="J19" s="24" t="s">
        <v>196</v>
      </c>
      <c r="K19" s="15">
        <v>29</v>
      </c>
      <c r="L19" s="33" t="s">
        <v>197</v>
      </c>
      <c r="M19" s="49" t="s">
        <v>160</v>
      </c>
      <c r="N19" s="47" t="s">
        <v>250</v>
      </c>
      <c r="O19" s="72" t="s">
        <v>289</v>
      </c>
      <c r="P19" s="9"/>
      <c r="Q19" s="35" t="s">
        <v>221</v>
      </c>
      <c r="R19" s="9"/>
      <c r="S19" s="9"/>
      <c r="T19" s="9"/>
      <c r="U19" s="9"/>
      <c r="W19" s="9"/>
      <c r="X19" s="9"/>
      <c r="Y19" s="9"/>
      <c r="Z19" s="15">
        <v>57</v>
      </c>
      <c r="AA19" s="23" t="s">
        <v>230</v>
      </c>
      <c r="AB19" s="30" t="s">
        <v>217</v>
      </c>
      <c r="AC19" s="27" t="s">
        <v>274</v>
      </c>
      <c r="AD19" s="46" t="s">
        <v>301</v>
      </c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15"/>
      <c r="AV19" s="9"/>
      <c r="AW19" s="39"/>
      <c r="AX19" s="40"/>
      <c r="AY19" s="41"/>
    </row>
    <row r="20" spans="1:51" ht="41" customHeight="1" x14ac:dyDescent="0.35">
      <c r="A20" s="15">
        <v>11</v>
      </c>
      <c r="B20" s="26" t="s">
        <v>174</v>
      </c>
      <c r="C20" s="49" t="s">
        <v>175</v>
      </c>
      <c r="D20" s="47" t="s">
        <v>201</v>
      </c>
      <c r="E20" s="44" t="s">
        <v>196</v>
      </c>
      <c r="F20" s="9"/>
      <c r="G20" s="17" t="s">
        <v>185</v>
      </c>
      <c r="H20" s="9"/>
      <c r="I20" s="9"/>
      <c r="J20" s="9"/>
      <c r="K20" s="15">
        <v>30</v>
      </c>
      <c r="L20" s="25" t="s">
        <v>198</v>
      </c>
      <c r="M20" s="49" t="s">
        <v>162</v>
      </c>
      <c r="N20" s="47" t="s">
        <v>251</v>
      </c>
      <c r="O20" s="72" t="s">
        <v>290</v>
      </c>
      <c r="P20" s="9"/>
      <c r="Q20" s="9"/>
      <c r="R20" s="9"/>
      <c r="S20" s="9"/>
      <c r="T20" s="9"/>
      <c r="U20" s="9"/>
      <c r="V20" s="34" t="s">
        <v>220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15"/>
      <c r="AV20" s="9"/>
      <c r="AW20" s="39"/>
      <c r="AX20" s="40"/>
      <c r="AY20" s="41"/>
    </row>
    <row r="21" spans="1:51" ht="29" x14ac:dyDescent="0.35">
      <c r="A21" s="9"/>
      <c r="B21" s="17" t="s">
        <v>176</v>
      </c>
      <c r="C21" s="9"/>
      <c r="D21" s="9"/>
      <c r="E21" s="9"/>
      <c r="F21" s="9"/>
      <c r="G21" s="9"/>
      <c r="H21" s="9"/>
      <c r="I21" s="9"/>
      <c r="J21" s="9"/>
      <c r="K21" s="15">
        <v>31</v>
      </c>
      <c r="L21" s="25" t="s">
        <v>199</v>
      </c>
      <c r="M21" s="49" t="s">
        <v>160</v>
      </c>
      <c r="N21" s="47" t="s">
        <v>252</v>
      </c>
      <c r="O21" s="72" t="s">
        <v>290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35" t="s">
        <v>231</v>
      </c>
      <c r="AB21" s="9"/>
      <c r="AC21" s="9"/>
      <c r="AD21" s="9"/>
      <c r="AE21" s="9"/>
      <c r="AF21" s="9"/>
      <c r="AG21" s="16"/>
      <c r="AH21" s="9"/>
      <c r="AI21" s="9"/>
      <c r="AJ21" s="9"/>
      <c r="AK21" s="9"/>
      <c r="AL21" s="16"/>
      <c r="AM21" s="9"/>
      <c r="AN21" s="9"/>
      <c r="AO21" s="9"/>
      <c r="AP21" s="9"/>
      <c r="AQ21" s="16"/>
      <c r="AR21" s="9"/>
      <c r="AS21" s="9"/>
      <c r="AT21" s="9"/>
      <c r="AU21" s="9"/>
      <c r="AV21" s="9"/>
      <c r="AW21" s="9"/>
      <c r="AX21" s="9"/>
      <c r="AY21" s="9"/>
    </row>
    <row r="22" spans="1:51" ht="55" customHeight="1" x14ac:dyDescent="0.35">
      <c r="A22" s="9"/>
      <c r="B22" s="18"/>
      <c r="C22" s="18"/>
      <c r="D22" s="18"/>
      <c r="E22" s="18"/>
      <c r="F22" s="9"/>
      <c r="G22" s="9"/>
      <c r="H22" s="9"/>
      <c r="I22" s="9"/>
      <c r="J22" s="9"/>
      <c r="K22" s="15">
        <v>32</v>
      </c>
      <c r="L22" s="25" t="s">
        <v>200</v>
      </c>
      <c r="M22" s="49" t="s">
        <v>167</v>
      </c>
      <c r="N22" s="47" t="s">
        <v>253</v>
      </c>
      <c r="O22" s="73" t="s">
        <v>290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16"/>
      <c r="AW22" s="9"/>
      <c r="AX22" s="9"/>
      <c r="AY22" s="9"/>
    </row>
    <row r="23" spans="1:51" ht="48.5" customHeight="1" x14ac:dyDescent="0.35">
      <c r="A23" s="9"/>
      <c r="B23" s="18"/>
      <c r="C23" s="18"/>
      <c r="D23" s="18"/>
      <c r="E23" s="18"/>
      <c r="F23" s="9"/>
      <c r="G23" s="9"/>
      <c r="H23" s="9"/>
      <c r="I23" s="9"/>
      <c r="J23" s="9"/>
      <c r="K23" s="15">
        <v>33</v>
      </c>
      <c r="L23" s="25" t="s">
        <v>202</v>
      </c>
      <c r="M23" s="49" t="s">
        <v>175</v>
      </c>
      <c r="N23" s="47" t="s">
        <v>254</v>
      </c>
      <c r="O23" s="72" t="s">
        <v>291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ht="29" customHeight="1" x14ac:dyDescent="0.35">
      <c r="A24" s="9"/>
      <c r="B24" s="18"/>
      <c r="C24" s="18"/>
      <c r="D24" s="18"/>
      <c r="E24" s="18"/>
      <c r="F24" s="9"/>
      <c r="G24" s="9"/>
      <c r="H24" s="9"/>
      <c r="I24" s="9"/>
      <c r="J24" s="9"/>
      <c r="K24" s="15"/>
      <c r="L24" s="17" t="s">
        <v>203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ht="14.5" customHeight="1" x14ac:dyDescent="0.35">
      <c r="A25" s="9"/>
      <c r="B25" s="18"/>
      <c r="C25" s="18"/>
      <c r="D25" s="18"/>
      <c r="E25" s="1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ht="14.5" customHeight="1" x14ac:dyDescent="0.35">
      <c r="A26" s="9"/>
      <c r="B26" s="18"/>
      <c r="C26" s="18"/>
      <c r="D26" s="18"/>
      <c r="E26" s="1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ht="14.5" customHeight="1" x14ac:dyDescent="0.35">
      <c r="A27" s="9"/>
      <c r="B27" s="18"/>
      <c r="C27" s="18"/>
      <c r="D27" s="18"/>
      <c r="E27" s="1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ht="14.5" customHeight="1" x14ac:dyDescent="0.35">
      <c r="A28" s="9"/>
      <c r="B28" s="18"/>
      <c r="C28" s="18"/>
      <c r="D28" s="18"/>
      <c r="E28" s="1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ht="14.5" customHeight="1" x14ac:dyDescent="0.35">
      <c r="A29" s="9"/>
      <c r="B29" s="18"/>
      <c r="C29" s="18"/>
      <c r="D29" s="18"/>
      <c r="E29" s="1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ht="14.5" customHeight="1" x14ac:dyDescent="0.35">
      <c r="A30" s="9"/>
      <c r="B30" s="18"/>
      <c r="C30" s="18"/>
      <c r="D30" s="18"/>
      <c r="E30" s="1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</sheetData>
  <mergeCells count="32">
    <mergeCell ref="Q8:T10"/>
    <mergeCell ref="U8:U10"/>
    <mergeCell ref="V8:Y10"/>
    <mergeCell ref="Z8:Z10"/>
    <mergeCell ref="AA8:AD10"/>
    <mergeCell ref="AV6:AY7"/>
    <mergeCell ref="A8:A10"/>
    <mergeCell ref="B8:E10"/>
    <mergeCell ref="F8:F10"/>
    <mergeCell ref="G8:J10"/>
    <mergeCell ref="K8:K10"/>
    <mergeCell ref="L8:O10"/>
    <mergeCell ref="AU8:AU10"/>
    <mergeCell ref="AV8:AY10"/>
    <mergeCell ref="AF8:AF10"/>
    <mergeCell ref="AG8:AJ10"/>
    <mergeCell ref="AK8:AK10"/>
    <mergeCell ref="AL8:AO10"/>
    <mergeCell ref="AP8:AP10"/>
    <mergeCell ref="AQ8:AT10"/>
    <mergeCell ref="P8:P10"/>
    <mergeCell ref="V6:Y7"/>
    <mergeCell ref="AA6:AD7"/>
    <mergeCell ref="AG6:AJ7"/>
    <mergeCell ref="AL6:AO7"/>
    <mergeCell ref="AQ6:AT7"/>
    <mergeCell ref="K2:K3"/>
    <mergeCell ref="L2:S3"/>
    <mergeCell ref="B6:E7"/>
    <mergeCell ref="G6:J7"/>
    <mergeCell ref="L6:O7"/>
    <mergeCell ref="Q6:T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8ADC-C457-4C68-8925-0B3FE65BCE96}">
  <dimension ref="A1:F16"/>
  <sheetViews>
    <sheetView workbookViewId="0">
      <selection activeCell="E10" sqref="E10"/>
    </sheetView>
  </sheetViews>
  <sheetFormatPr baseColWidth="10" defaultRowHeight="14.5" x14ac:dyDescent="0.35"/>
  <cols>
    <col min="1" max="1" width="29.1796875" customWidth="1"/>
    <col min="2" max="2" width="30.54296875" customWidth="1"/>
    <col min="3" max="3" width="32.54296875" customWidth="1"/>
    <col min="4" max="4" width="32.1796875" customWidth="1"/>
    <col min="5" max="5" width="30.90625" customWidth="1"/>
    <col min="6" max="6" width="28.7265625" customWidth="1"/>
  </cols>
  <sheetData>
    <row r="1" spans="1:6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ht="69" customHeight="1" x14ac:dyDescent="0.35">
      <c r="A2" s="3" t="s">
        <v>83</v>
      </c>
      <c r="B2" s="2" t="s">
        <v>84</v>
      </c>
      <c r="C2" s="2" t="s">
        <v>85</v>
      </c>
      <c r="D2" s="8" t="s">
        <v>86</v>
      </c>
      <c r="E2" s="2" t="s">
        <v>87</v>
      </c>
      <c r="F2" s="2" t="s">
        <v>88</v>
      </c>
    </row>
    <row r="3" spans="1:6" ht="65.5" customHeight="1" x14ac:dyDescent="0.35">
      <c r="A3" s="3" t="s">
        <v>89</v>
      </c>
      <c r="B3" s="2" t="s">
        <v>90</v>
      </c>
      <c r="C3" s="2" t="s">
        <v>91</v>
      </c>
      <c r="D3" s="8" t="s">
        <v>92</v>
      </c>
      <c r="E3" s="2" t="s">
        <v>93</v>
      </c>
      <c r="F3" s="2" t="s">
        <v>94</v>
      </c>
    </row>
    <row r="4" spans="1:6" ht="72.5" x14ac:dyDescent="0.35">
      <c r="A4" s="3" t="s">
        <v>95</v>
      </c>
      <c r="B4" s="2" t="s">
        <v>96</v>
      </c>
      <c r="C4" s="2" t="s">
        <v>97</v>
      </c>
      <c r="D4" s="2" t="s">
        <v>98</v>
      </c>
      <c r="E4" s="2" t="s">
        <v>99</v>
      </c>
      <c r="F4" s="2" t="s">
        <v>100</v>
      </c>
    </row>
    <row r="5" spans="1:6" ht="58" x14ac:dyDescent="0.35">
      <c r="A5" s="3" t="s">
        <v>103</v>
      </c>
      <c r="B5" s="2" t="s">
        <v>107</v>
      </c>
      <c r="C5" s="2" t="s">
        <v>108</v>
      </c>
      <c r="D5" s="2" t="s">
        <v>109</v>
      </c>
      <c r="E5" s="2" t="s">
        <v>110</v>
      </c>
      <c r="F5" s="2" t="s">
        <v>111</v>
      </c>
    </row>
    <row r="6" spans="1:6" ht="58" x14ac:dyDescent="0.35">
      <c r="A6" s="3" t="s">
        <v>104</v>
      </c>
      <c r="B6" s="2" t="s">
        <v>112</v>
      </c>
      <c r="C6" s="2" t="s">
        <v>113</v>
      </c>
      <c r="D6" s="2" t="s">
        <v>114</v>
      </c>
      <c r="E6" s="2" t="s">
        <v>115</v>
      </c>
      <c r="F6" s="2" t="s">
        <v>116</v>
      </c>
    </row>
    <row r="7" spans="1:6" ht="58" x14ac:dyDescent="0.35">
      <c r="A7" s="3" t="s">
        <v>117</v>
      </c>
      <c r="B7" s="2" t="s">
        <v>118</v>
      </c>
      <c r="C7" s="2" t="s">
        <v>119</v>
      </c>
      <c r="D7" s="2" t="s">
        <v>120</v>
      </c>
      <c r="E7" s="2" t="s">
        <v>121</v>
      </c>
      <c r="F7" s="2" t="s">
        <v>122</v>
      </c>
    </row>
    <row r="9" spans="1:6" x14ac:dyDescent="0.35">
      <c r="A9" s="1" t="s">
        <v>77</v>
      </c>
      <c r="B9" s="1" t="s">
        <v>101</v>
      </c>
    </row>
    <row r="10" spans="1:6" ht="29" x14ac:dyDescent="0.35">
      <c r="A10" s="2" t="s">
        <v>83</v>
      </c>
      <c r="B10" s="2">
        <v>9</v>
      </c>
    </row>
    <row r="11" spans="1:6" x14ac:dyDescent="0.35">
      <c r="A11" s="2" t="s">
        <v>89</v>
      </c>
      <c r="B11" s="2">
        <v>8</v>
      </c>
    </row>
    <row r="12" spans="1:6" x14ac:dyDescent="0.35">
      <c r="A12" s="2" t="s">
        <v>102</v>
      </c>
      <c r="B12" s="2">
        <v>12</v>
      </c>
    </row>
    <row r="13" spans="1:6" x14ac:dyDescent="0.35">
      <c r="A13" s="2" t="s">
        <v>204</v>
      </c>
      <c r="B13" s="2">
        <v>6</v>
      </c>
    </row>
    <row r="14" spans="1:6" x14ac:dyDescent="0.35">
      <c r="A14" s="2" t="s">
        <v>104</v>
      </c>
      <c r="B14" s="2">
        <v>7</v>
      </c>
    </row>
    <row r="15" spans="1:6" ht="29" x14ac:dyDescent="0.35">
      <c r="A15" s="2" t="s">
        <v>105</v>
      </c>
      <c r="B15" s="2">
        <v>8</v>
      </c>
    </row>
    <row r="16" spans="1:6" x14ac:dyDescent="0.35">
      <c r="A16" s="3" t="s">
        <v>106</v>
      </c>
      <c r="B16" s="3">
        <f>SUM(B10:B15)</f>
        <v>50</v>
      </c>
    </row>
  </sheetData>
  <hyperlinks>
    <hyperlink ref="D2" r:id="rId1" display="https://goo.gl/Ly1Vqe" xr:uid="{5AA6B2E3-D199-48CE-8E53-743E9DA5EA13}"/>
    <hyperlink ref="D3" r:id="rId2" display="https://goo.gl/gve9z2" xr:uid="{838E2D02-785E-4025-BF81-97A2A18F76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83A9-ACC3-4D46-945B-728E87460FC4}">
  <dimension ref="A1:C14"/>
  <sheetViews>
    <sheetView workbookViewId="0">
      <selection sqref="A1:C14"/>
    </sheetView>
  </sheetViews>
  <sheetFormatPr baseColWidth="10" defaultRowHeight="14.5" x14ac:dyDescent="0.35"/>
  <cols>
    <col min="2" max="2" width="26.453125" bestFit="1" customWidth="1"/>
  </cols>
  <sheetData>
    <row r="1" spans="1:3" x14ac:dyDescent="0.35">
      <c r="A1" s="50" t="s">
        <v>123</v>
      </c>
      <c r="B1" s="50" t="s">
        <v>69</v>
      </c>
      <c r="C1" s="50" t="s">
        <v>124</v>
      </c>
    </row>
    <row r="2" spans="1:3" x14ac:dyDescent="0.35">
      <c r="A2" s="25" t="s">
        <v>70</v>
      </c>
      <c r="B2" s="25" t="s">
        <v>125</v>
      </c>
      <c r="C2" s="25" t="s">
        <v>126</v>
      </c>
    </row>
    <row r="3" spans="1:3" ht="29" x14ac:dyDescent="0.35">
      <c r="A3" s="25" t="s">
        <v>73</v>
      </c>
      <c r="B3" s="25" t="s">
        <v>127</v>
      </c>
      <c r="C3" s="25" t="s">
        <v>128</v>
      </c>
    </row>
    <row r="4" spans="1:3" ht="29" x14ac:dyDescent="0.35">
      <c r="A4" s="25" t="s">
        <v>71</v>
      </c>
      <c r="B4" s="25" t="s">
        <v>129</v>
      </c>
      <c r="C4" s="25" t="s">
        <v>130</v>
      </c>
    </row>
    <row r="5" spans="1:3" x14ac:dyDescent="0.35">
      <c r="A5" s="25" t="s">
        <v>72</v>
      </c>
      <c r="B5" s="25" t="s">
        <v>131</v>
      </c>
      <c r="C5" s="25" t="s">
        <v>132</v>
      </c>
    </row>
    <row r="6" spans="1:3" x14ac:dyDescent="0.35">
      <c r="A6" s="25" t="s">
        <v>74</v>
      </c>
      <c r="B6" s="25" t="s">
        <v>133</v>
      </c>
      <c r="C6" s="25" t="s">
        <v>134</v>
      </c>
    </row>
    <row r="7" spans="1:3" ht="43.5" x14ac:dyDescent="0.35">
      <c r="A7" s="25" t="s">
        <v>135</v>
      </c>
      <c r="B7" s="25" t="s">
        <v>136</v>
      </c>
      <c r="C7" s="25" t="s">
        <v>137</v>
      </c>
    </row>
    <row r="8" spans="1:3" ht="29" x14ac:dyDescent="0.35">
      <c r="A8" s="25" t="s">
        <v>138</v>
      </c>
      <c r="B8" s="25" t="s">
        <v>139</v>
      </c>
      <c r="C8" s="25" t="s">
        <v>128</v>
      </c>
    </row>
    <row r="9" spans="1:3" ht="29" x14ac:dyDescent="0.35">
      <c r="A9" s="25" t="s">
        <v>140</v>
      </c>
      <c r="B9" s="25" t="s">
        <v>141</v>
      </c>
      <c r="C9" s="25" t="s">
        <v>142</v>
      </c>
    </row>
    <row r="10" spans="1:3" ht="43.5" x14ac:dyDescent="0.35">
      <c r="A10" s="25" t="s">
        <v>143</v>
      </c>
      <c r="B10" s="25" t="s">
        <v>144</v>
      </c>
      <c r="C10" s="25" t="s">
        <v>145</v>
      </c>
    </row>
    <row r="11" spans="1:3" ht="43.5" x14ac:dyDescent="0.35">
      <c r="A11" s="25" t="s">
        <v>146</v>
      </c>
      <c r="B11" s="25" t="s">
        <v>147</v>
      </c>
      <c r="C11" s="25" t="s">
        <v>148</v>
      </c>
    </row>
    <row r="12" spans="1:3" ht="29" x14ac:dyDescent="0.35">
      <c r="A12" s="25" t="s">
        <v>149</v>
      </c>
      <c r="B12" s="25" t="s">
        <v>150</v>
      </c>
      <c r="C12" s="25" t="s">
        <v>151</v>
      </c>
    </row>
    <row r="13" spans="1:3" ht="43.5" x14ac:dyDescent="0.35">
      <c r="A13" s="25" t="s">
        <v>152</v>
      </c>
      <c r="B13" s="25" t="s">
        <v>153</v>
      </c>
      <c r="C13" s="25" t="s">
        <v>154</v>
      </c>
    </row>
    <row r="14" spans="1:3" x14ac:dyDescent="0.35">
      <c r="A14" s="25" t="s">
        <v>155</v>
      </c>
      <c r="B14" s="25" t="s">
        <v>156</v>
      </c>
      <c r="C14" s="25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D77A-4DB4-4E8D-BC86-345235D6DE2B}">
  <dimension ref="F7:L19"/>
  <sheetViews>
    <sheetView topLeftCell="A3" workbookViewId="0">
      <selection activeCell="F7" sqref="F7:M19"/>
    </sheetView>
  </sheetViews>
  <sheetFormatPr baseColWidth="10" defaultRowHeight="14.5" x14ac:dyDescent="0.35"/>
  <sheetData>
    <row r="7" spans="6:12" ht="72.5" x14ac:dyDescent="0.35">
      <c r="F7" s="6" t="s">
        <v>14</v>
      </c>
      <c r="H7" s="6" t="s">
        <v>21</v>
      </c>
      <c r="J7" s="6" t="s">
        <v>25</v>
      </c>
    </row>
    <row r="11" spans="6:12" ht="43.5" x14ac:dyDescent="0.35">
      <c r="H11" s="5" t="s">
        <v>15</v>
      </c>
    </row>
    <row r="14" spans="6:12" ht="87" x14ac:dyDescent="0.35">
      <c r="F14" s="7" t="s">
        <v>17</v>
      </c>
      <c r="H14" s="7" t="s">
        <v>18</v>
      </c>
      <c r="J14" s="7" t="s">
        <v>22</v>
      </c>
      <c r="L14" s="7" t="s">
        <v>23</v>
      </c>
    </row>
    <row r="19" spans="6:11" ht="72.5" x14ac:dyDescent="0.35">
      <c r="F19" s="7" t="s">
        <v>19</v>
      </c>
      <c r="I19" s="7" t="s">
        <v>20</v>
      </c>
      <c r="K19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Matriz de vester</vt:lpstr>
      <vt:lpstr>Marco Logico</vt:lpstr>
      <vt:lpstr>EDT</vt:lpstr>
      <vt:lpstr>MML</vt:lpstr>
      <vt:lpstr>Recursos</vt:lpstr>
      <vt:lpstr>Arbol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Guerrero Arias</dc:creator>
  <cp:lastModifiedBy>Alexander Guerrero Arias</cp:lastModifiedBy>
  <dcterms:created xsi:type="dcterms:W3CDTF">2025-05-19T17:38:26Z</dcterms:created>
  <dcterms:modified xsi:type="dcterms:W3CDTF">2025-05-27T23:33:31Z</dcterms:modified>
</cp:coreProperties>
</file>